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2"/>
  <workbookPr/>
  <xr:revisionPtr revIDLastSave="0" documentId="8_{5CF2B959-C480-4F84-B60F-99EEA2F2EB11}" xr6:coauthVersionLast="47" xr6:coauthVersionMax="47" xr10:uidLastSave="{00000000-0000-0000-0000-000000000000}"/>
  <bookViews>
    <workbookView xWindow="0" yWindow="0" windowWidth="16384" windowHeight="8192" tabRatio="500" firstSheet="3" activeTab="2" xr2:uid="{00000000-000D-0000-FFFF-FFFF00000000}"/>
  </bookViews>
  <sheets>
    <sheet name="🔒 Terms of Use" sheetId="1" r:id="rId1"/>
    <sheet name="⚙ Assumptions" sheetId="2" r:id="rId2"/>
    <sheet name="📊 Dashboard" sheetId="3" r:id="rId3"/>
    <sheet name="💰 Income Planning" sheetId="4" r:id="rId4"/>
    <sheet name="🧮 Tax Estimator" sheetId="5" r:id="rId5"/>
    <sheet name="🏠 Household Expenditure" sheetId="6" r:id="rId6"/>
    <sheet name="📅 Monthly Cashflow" sheetId="7" r:id="rId7"/>
    <sheet name="🏦 Debt Schedule" sheetId="8" r:id="rId8"/>
    <sheet name="🏘 Rental Properties" sheetId="9" r:id="rId9"/>
    <sheet name="🎯 Goals &amp; Super" sheetId="10" r:id="rId10"/>
    <sheet name="📋 Summary" sheetId="11" r:id="rId11"/>
    <sheet name="📈 A+L" sheetId="12" r:id="rId12"/>
  </sheets>
  <definedNames>
    <definedName name="CashflowLink">'⚙ Assumptions'!$C$42</definedName>
    <definedName name="CorpTaxRate">'⚙ Assumptions'!$C$44</definedName>
    <definedName name="FamilyName">'⚙ Assumptions'!$C$7</definedName>
    <definedName name="FrankingPct">'⚙ Assumptions'!$C$43</definedName>
    <definedName name="FYYear">'⚙ Assumptions'!$C$6</definedName>
    <definedName name="NumDeps">'⚙ Assumptions'!$C$10</definedName>
    <definedName name="Person1">'⚙ Assumptions'!$C$8</definedName>
    <definedName name="Person2">'⚙ Assumptions'!$C$9</definedName>
    <definedName name="TrustDist1">'⚙ Assumptions'!$C$12</definedName>
    <definedName name="TrustDist2">'⚙ Assumptions'!$C$13</definedName>
    <definedName name="TrustName">'⚙ Assumptions'!$C$11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6" i="12" l="1"/>
  <c r="D51" i="12"/>
  <c r="D50" i="12"/>
  <c r="F41" i="12"/>
  <c r="E41" i="12"/>
  <c r="G41" i="12" s="1"/>
  <c r="G40" i="12"/>
  <c r="G39" i="12"/>
  <c r="F37" i="12"/>
  <c r="E37" i="12"/>
  <c r="G37" i="12" s="1"/>
  <c r="G36" i="12"/>
  <c r="G35" i="12"/>
  <c r="F33" i="12"/>
  <c r="E33" i="12"/>
  <c r="G33" i="12" s="1"/>
  <c r="G32" i="12"/>
  <c r="G31" i="12"/>
  <c r="C31" i="12"/>
  <c r="F29" i="12"/>
  <c r="E29" i="12"/>
  <c r="G29" i="12" s="1"/>
  <c r="G28" i="12"/>
  <c r="G27" i="12"/>
  <c r="G26" i="12"/>
  <c r="F24" i="12"/>
  <c r="H23" i="12"/>
  <c r="E23" i="12"/>
  <c r="G23" i="12" s="1"/>
  <c r="C23" i="12"/>
  <c r="H22" i="12"/>
  <c r="E22" i="12"/>
  <c r="C22" i="12"/>
  <c r="F20" i="12"/>
  <c r="E20" i="12"/>
  <c r="G20" i="12" s="1"/>
  <c r="G19" i="12"/>
  <c r="G18" i="12"/>
  <c r="G17" i="12"/>
  <c r="F15" i="12"/>
  <c r="E15" i="12"/>
  <c r="G15" i="12" s="1"/>
  <c r="H14" i="12"/>
  <c r="G14" i="12"/>
  <c r="H13" i="12"/>
  <c r="G13" i="12"/>
  <c r="G12" i="12"/>
  <c r="G11" i="12"/>
  <c r="F9" i="12"/>
  <c r="E9" i="12"/>
  <c r="G9" i="12" s="1"/>
  <c r="G8" i="12"/>
  <c r="G7" i="12"/>
  <c r="F5" i="12"/>
  <c r="C2" i="12"/>
  <c r="C1" i="12"/>
  <c r="B37" i="11"/>
  <c r="C2" i="11"/>
  <c r="C1" i="11"/>
  <c r="B52" i="10"/>
  <c r="D48" i="10"/>
  <c r="B46" i="10"/>
  <c r="E34" i="10"/>
  <c r="D33" i="10"/>
  <c r="C33" i="10"/>
  <c r="D22" i="10"/>
  <c r="C22" i="10"/>
  <c r="F19" i="10"/>
  <c r="F18" i="10"/>
  <c r="F17" i="10"/>
  <c r="F16" i="10"/>
  <c r="F15" i="10"/>
  <c r="F14" i="10"/>
  <c r="F13" i="10"/>
  <c r="F12" i="10"/>
  <c r="F11" i="10"/>
  <c r="F10" i="10"/>
  <c r="C2" i="10"/>
  <c r="C1" i="10"/>
  <c r="B46" i="9"/>
  <c r="L30" i="9"/>
  <c r="I30" i="9"/>
  <c r="F30" i="9"/>
  <c r="C30" i="9"/>
  <c r="L11" i="9"/>
  <c r="L31" i="9" s="1"/>
  <c r="L32" i="9" s="1"/>
  <c r="I11" i="9"/>
  <c r="I31" i="9" s="1"/>
  <c r="I32" i="9" s="1"/>
  <c r="F11" i="9"/>
  <c r="F31" i="9" s="1"/>
  <c r="F32" i="9" s="1"/>
  <c r="C11" i="9"/>
  <c r="C31" i="9" s="1"/>
  <c r="C32" i="9" s="1"/>
  <c r="O11" i="9" s="1"/>
  <c r="O10" i="9"/>
  <c r="O9" i="9"/>
  <c r="C2" i="9"/>
  <c r="C1" i="9"/>
  <c r="B43" i="8"/>
  <c r="C24" i="8"/>
  <c r="D27" i="8" s="1"/>
  <c r="H23" i="8"/>
  <c r="F23" i="8"/>
  <c r="H22" i="8"/>
  <c r="F22" i="8"/>
  <c r="H21" i="8"/>
  <c r="F21" i="8"/>
  <c r="H20" i="8"/>
  <c r="F20" i="8"/>
  <c r="H19" i="8"/>
  <c r="H24" i="8" s="1"/>
  <c r="F19" i="8"/>
  <c r="F24" i="8" s="1"/>
  <c r="D28" i="8" s="1"/>
  <c r="C16" i="8"/>
  <c r="H15" i="8"/>
  <c r="F15" i="8"/>
  <c r="H14" i="8"/>
  <c r="F14" i="8"/>
  <c r="H13" i="8"/>
  <c r="F13" i="8"/>
  <c r="H12" i="8"/>
  <c r="F12" i="8"/>
  <c r="H11" i="8"/>
  <c r="F11" i="8"/>
  <c r="H10" i="8"/>
  <c r="F10" i="8"/>
  <c r="H9" i="8"/>
  <c r="F9" i="8"/>
  <c r="H8" i="8"/>
  <c r="F8" i="8"/>
  <c r="H7" i="8"/>
  <c r="F7" i="8"/>
  <c r="H6" i="8"/>
  <c r="H16" i="8" s="1"/>
  <c r="F6" i="8"/>
  <c r="F16" i="8" s="1"/>
  <c r="C2" i="8"/>
  <c r="C1" i="8"/>
  <c r="B74" i="7"/>
  <c r="N51" i="7"/>
  <c r="N60" i="7" s="1"/>
  <c r="M51" i="7"/>
  <c r="M60" i="7" s="1"/>
  <c r="L51" i="7"/>
  <c r="L60" i="7" s="1"/>
  <c r="K51" i="7"/>
  <c r="K60" i="7" s="1"/>
  <c r="J51" i="7"/>
  <c r="J60" i="7" s="1"/>
  <c r="I51" i="7"/>
  <c r="I60" i="7" s="1"/>
  <c r="H51" i="7"/>
  <c r="H60" i="7" s="1"/>
  <c r="G51" i="7"/>
  <c r="G60" i="7" s="1"/>
  <c r="F51" i="7"/>
  <c r="F60" i="7" s="1"/>
  <c r="E51" i="7"/>
  <c r="E60" i="7" s="1"/>
  <c r="D51" i="7"/>
  <c r="D60" i="7" s="1"/>
  <c r="C51" i="7"/>
  <c r="C60" i="7" s="1"/>
  <c r="O50" i="7"/>
  <c r="O49" i="7"/>
  <c r="O48" i="7"/>
  <c r="O47" i="7"/>
  <c r="O46" i="7"/>
  <c r="O51" i="7" s="1"/>
  <c r="O60" i="7" s="1"/>
  <c r="O43" i="7"/>
  <c r="O42" i="7"/>
  <c r="N41" i="7"/>
  <c r="M41" i="7"/>
  <c r="L41" i="7"/>
  <c r="K41" i="7"/>
  <c r="J41" i="7"/>
  <c r="I41" i="7"/>
  <c r="H41" i="7"/>
  <c r="G41" i="7"/>
  <c r="F41" i="7"/>
  <c r="E41" i="7"/>
  <c r="D41" i="7"/>
  <c r="C41" i="7"/>
  <c r="O41" i="7" s="1"/>
  <c r="N40" i="7"/>
  <c r="M40" i="7"/>
  <c r="L40" i="7"/>
  <c r="K40" i="7"/>
  <c r="J40" i="7"/>
  <c r="I40" i="7"/>
  <c r="H40" i="7"/>
  <c r="G40" i="7"/>
  <c r="F40" i="7"/>
  <c r="E40" i="7"/>
  <c r="D40" i="7"/>
  <c r="C40" i="7"/>
  <c r="O40" i="7" s="1"/>
  <c r="N39" i="7"/>
  <c r="M39" i="7"/>
  <c r="L39" i="7"/>
  <c r="K39" i="7"/>
  <c r="J39" i="7"/>
  <c r="I39" i="7"/>
  <c r="H39" i="7"/>
  <c r="G39" i="7"/>
  <c r="F39" i="7"/>
  <c r="E39" i="7"/>
  <c r="D39" i="7"/>
  <c r="C39" i="7"/>
  <c r="O39" i="7" s="1"/>
  <c r="N38" i="7"/>
  <c r="N44" i="7" s="1"/>
  <c r="N59" i="7" s="1"/>
  <c r="M38" i="7"/>
  <c r="M44" i="7" s="1"/>
  <c r="M59" i="7" s="1"/>
  <c r="L38" i="7"/>
  <c r="L44" i="7" s="1"/>
  <c r="L59" i="7" s="1"/>
  <c r="K38" i="7"/>
  <c r="K44" i="7" s="1"/>
  <c r="K59" i="7" s="1"/>
  <c r="J38" i="7"/>
  <c r="J44" i="7" s="1"/>
  <c r="J59" i="7" s="1"/>
  <c r="I38" i="7"/>
  <c r="I44" i="7" s="1"/>
  <c r="I59" i="7" s="1"/>
  <c r="H38" i="7"/>
  <c r="H44" i="7" s="1"/>
  <c r="H59" i="7" s="1"/>
  <c r="G38" i="7"/>
  <c r="G44" i="7" s="1"/>
  <c r="G59" i="7" s="1"/>
  <c r="F38" i="7"/>
  <c r="F44" i="7" s="1"/>
  <c r="F59" i="7" s="1"/>
  <c r="E38" i="7"/>
  <c r="E44" i="7" s="1"/>
  <c r="E59" i="7" s="1"/>
  <c r="D38" i="7"/>
  <c r="D44" i="7" s="1"/>
  <c r="D59" i="7" s="1"/>
  <c r="C38" i="7"/>
  <c r="B38" i="7"/>
  <c r="N36" i="7"/>
  <c r="N58" i="7" s="1"/>
  <c r="M36" i="7"/>
  <c r="M58" i="7" s="1"/>
  <c r="L36" i="7"/>
  <c r="L58" i="7" s="1"/>
  <c r="K36" i="7"/>
  <c r="K58" i="7" s="1"/>
  <c r="J36" i="7"/>
  <c r="J58" i="7" s="1"/>
  <c r="I36" i="7"/>
  <c r="I58" i="7" s="1"/>
  <c r="H36" i="7"/>
  <c r="H58" i="7" s="1"/>
  <c r="G36" i="7"/>
  <c r="G58" i="7" s="1"/>
  <c r="F36" i="7"/>
  <c r="F58" i="7" s="1"/>
  <c r="E36" i="7"/>
  <c r="E58" i="7" s="1"/>
  <c r="D36" i="7"/>
  <c r="D58" i="7" s="1"/>
  <c r="C36" i="7"/>
  <c r="C58" i="7" s="1"/>
  <c r="O35" i="7"/>
  <c r="O34" i="7"/>
  <c r="O33" i="7"/>
  <c r="O32" i="7"/>
  <c r="O31" i="7"/>
  <c r="O30" i="7"/>
  <c r="O29" i="7"/>
  <c r="O28" i="7"/>
  <c r="O36" i="7" s="1"/>
  <c r="O58" i="7" s="1"/>
  <c r="N23" i="7"/>
  <c r="M23" i="7"/>
  <c r="K23" i="7"/>
  <c r="J23" i="7"/>
  <c r="I23" i="7"/>
  <c r="H23" i="7"/>
  <c r="G23" i="7"/>
  <c r="F23" i="7"/>
  <c r="E23" i="7"/>
  <c r="D23" i="7"/>
  <c r="C23" i="7"/>
  <c r="N22" i="7"/>
  <c r="M22" i="7"/>
  <c r="L22" i="7"/>
  <c r="K22" i="7"/>
  <c r="J22" i="7"/>
  <c r="H22" i="7"/>
  <c r="G22" i="7"/>
  <c r="F22" i="7"/>
  <c r="E22" i="7"/>
  <c r="D22" i="7"/>
  <c r="C22" i="7"/>
  <c r="N21" i="7"/>
  <c r="M21" i="7"/>
  <c r="L21" i="7"/>
  <c r="K21" i="7"/>
  <c r="J21" i="7"/>
  <c r="I21" i="7"/>
  <c r="H21" i="7"/>
  <c r="F21" i="7"/>
  <c r="E21" i="7"/>
  <c r="D21" i="7"/>
  <c r="C21" i="7"/>
  <c r="N20" i="7"/>
  <c r="M20" i="7"/>
  <c r="L20" i="7"/>
  <c r="K20" i="7"/>
  <c r="J20" i="7"/>
  <c r="I20" i="7"/>
  <c r="H20" i="7"/>
  <c r="G20" i="7"/>
  <c r="F20" i="7"/>
  <c r="E20" i="7"/>
  <c r="C20" i="7"/>
  <c r="O9" i="7"/>
  <c r="N9" i="7"/>
  <c r="M9" i="7"/>
  <c r="L9" i="7"/>
  <c r="K9" i="7"/>
  <c r="J9" i="7"/>
  <c r="I9" i="7"/>
  <c r="H9" i="7"/>
  <c r="G9" i="7"/>
  <c r="F9" i="7"/>
  <c r="E9" i="7"/>
  <c r="D9" i="7"/>
  <c r="C9" i="7"/>
  <c r="B6" i="7"/>
  <c r="B5" i="7"/>
  <c r="C2" i="7"/>
  <c r="C1" i="7"/>
  <c r="B123" i="6"/>
  <c r="G105" i="6"/>
  <c r="G104" i="6"/>
  <c r="G106" i="6" s="1"/>
  <c r="G101" i="6"/>
  <c r="G100" i="6"/>
  <c r="G99" i="6"/>
  <c r="G98" i="6"/>
  <c r="G102" i="6" s="1"/>
  <c r="G95" i="6"/>
  <c r="G94" i="6"/>
  <c r="G93" i="6"/>
  <c r="G92" i="6"/>
  <c r="G96" i="6" s="1"/>
  <c r="G89" i="6"/>
  <c r="G88" i="6"/>
  <c r="G90" i="6" s="1"/>
  <c r="G85" i="6"/>
  <c r="G84" i="6"/>
  <c r="G83" i="6"/>
  <c r="G86" i="6" s="1"/>
  <c r="G80" i="6"/>
  <c r="G79" i="6"/>
  <c r="G78" i="6"/>
  <c r="G77" i="6"/>
  <c r="G76" i="6"/>
  <c r="G75" i="6"/>
  <c r="G81" i="6" s="1"/>
  <c r="G72" i="6"/>
  <c r="G71" i="6"/>
  <c r="G70" i="6"/>
  <c r="G69" i="6"/>
  <c r="G68" i="6"/>
  <c r="G67" i="6"/>
  <c r="G73" i="6" s="1"/>
  <c r="G64" i="6"/>
  <c r="G63" i="6"/>
  <c r="G62" i="6"/>
  <c r="G61" i="6"/>
  <c r="G60" i="6"/>
  <c r="G59" i="6"/>
  <c r="G58" i="6"/>
  <c r="G65" i="6" s="1"/>
  <c r="G55" i="6"/>
  <c r="G54" i="6"/>
  <c r="G53" i="6"/>
  <c r="G56" i="6" s="1"/>
  <c r="G50" i="6"/>
  <c r="G49" i="6"/>
  <c r="G48" i="6"/>
  <c r="G47" i="6"/>
  <c r="G46" i="6"/>
  <c r="G45" i="6"/>
  <c r="G51" i="6" s="1"/>
  <c r="G42" i="6"/>
  <c r="G41" i="6"/>
  <c r="G40" i="6"/>
  <c r="G39" i="6"/>
  <c r="G38" i="6"/>
  <c r="G37" i="6"/>
  <c r="G43" i="6" s="1"/>
  <c r="G34" i="6"/>
  <c r="G33" i="6"/>
  <c r="G32" i="6"/>
  <c r="G31" i="6"/>
  <c r="G35" i="6" s="1"/>
  <c r="N30" i="6"/>
  <c r="N29" i="6"/>
  <c r="N28" i="6"/>
  <c r="G28" i="6"/>
  <c r="N27" i="6"/>
  <c r="G27" i="6"/>
  <c r="N26" i="6"/>
  <c r="G26" i="6"/>
  <c r="N25" i="6"/>
  <c r="G25" i="6"/>
  <c r="G29" i="6" s="1"/>
  <c r="N24" i="6"/>
  <c r="N31" i="6" s="1"/>
  <c r="G22" i="6"/>
  <c r="N21" i="6"/>
  <c r="G21" i="6"/>
  <c r="G23" i="6" s="1"/>
  <c r="N20" i="6"/>
  <c r="N19" i="6"/>
  <c r="N18" i="6"/>
  <c r="G18" i="6"/>
  <c r="N17" i="6"/>
  <c r="G17" i="6"/>
  <c r="N16" i="6"/>
  <c r="G16" i="6"/>
  <c r="N15" i="6"/>
  <c r="N22" i="6" s="1"/>
  <c r="G15" i="6"/>
  <c r="G14" i="6"/>
  <c r="G13" i="6"/>
  <c r="N12" i="6"/>
  <c r="G12" i="6"/>
  <c r="N11" i="6"/>
  <c r="G11" i="6"/>
  <c r="G19" i="6" s="1"/>
  <c r="N10" i="6"/>
  <c r="N9" i="6"/>
  <c r="N8" i="6"/>
  <c r="G8" i="6"/>
  <c r="N7" i="6"/>
  <c r="G7" i="6"/>
  <c r="N6" i="6"/>
  <c r="N13" i="6" s="1"/>
  <c r="N34" i="6" s="1"/>
  <c r="G6" i="6"/>
  <c r="G9" i="6" s="1"/>
  <c r="C2" i="6"/>
  <c r="C1" i="6"/>
  <c r="D36" i="5"/>
  <c r="C36" i="5"/>
  <c r="E36" i="5" s="1"/>
  <c r="E29" i="5"/>
  <c r="E28" i="5"/>
  <c r="D19" i="5"/>
  <c r="C19" i="5"/>
  <c r="E19" i="5" s="1"/>
  <c r="E18" i="5"/>
  <c r="E17" i="5"/>
  <c r="E16" i="5"/>
  <c r="E15" i="5"/>
  <c r="E12" i="5"/>
  <c r="I11" i="5"/>
  <c r="H11" i="5"/>
  <c r="D11" i="5"/>
  <c r="C11" i="5"/>
  <c r="E10" i="5"/>
  <c r="E9" i="5"/>
  <c r="E8" i="5"/>
  <c r="E7" i="5"/>
  <c r="I6" i="5"/>
  <c r="I9" i="5" s="1"/>
  <c r="H6" i="5"/>
  <c r="H9" i="5" s="1"/>
  <c r="E6" i="5"/>
  <c r="I5" i="5"/>
  <c r="H5" i="5"/>
  <c r="D4" i="5"/>
  <c r="C4" i="5"/>
  <c r="C2" i="5"/>
  <c r="C1" i="5"/>
  <c r="B44" i="4"/>
  <c r="D36" i="4"/>
  <c r="E28" i="4"/>
  <c r="D28" i="4"/>
  <c r="C28" i="4"/>
  <c r="F28" i="4" s="1"/>
  <c r="J27" i="4"/>
  <c r="I27" i="4"/>
  <c r="H27" i="4"/>
  <c r="K27" i="4" s="1"/>
  <c r="F27" i="4"/>
  <c r="J26" i="4"/>
  <c r="I26" i="4"/>
  <c r="H26" i="4"/>
  <c r="K26" i="4" s="1"/>
  <c r="F26" i="4"/>
  <c r="J25" i="4"/>
  <c r="J28" i="4" s="1"/>
  <c r="I25" i="4"/>
  <c r="I28" i="4" s="1"/>
  <c r="H25" i="4"/>
  <c r="F25" i="4"/>
  <c r="E22" i="4"/>
  <c r="D22" i="4"/>
  <c r="C22" i="4"/>
  <c r="F22" i="4" s="1"/>
  <c r="J21" i="4"/>
  <c r="I21" i="4"/>
  <c r="H21" i="4"/>
  <c r="K21" i="4" s="1"/>
  <c r="F21" i="4"/>
  <c r="J20" i="4"/>
  <c r="I20" i="4"/>
  <c r="H20" i="4"/>
  <c r="K20" i="4" s="1"/>
  <c r="F20" i="4"/>
  <c r="J19" i="4"/>
  <c r="J22" i="4" s="1"/>
  <c r="I19" i="4"/>
  <c r="I22" i="4" s="1"/>
  <c r="H19" i="4"/>
  <c r="F19" i="4"/>
  <c r="E16" i="4"/>
  <c r="D16" i="4"/>
  <c r="C16" i="4"/>
  <c r="F16" i="4" s="1"/>
  <c r="J15" i="4"/>
  <c r="I15" i="4"/>
  <c r="H15" i="4"/>
  <c r="K15" i="4" s="1"/>
  <c r="F15" i="4"/>
  <c r="J14" i="4"/>
  <c r="I14" i="4"/>
  <c r="H14" i="4"/>
  <c r="K14" i="4" s="1"/>
  <c r="F14" i="4"/>
  <c r="J13" i="4"/>
  <c r="J16" i="4" s="1"/>
  <c r="I13" i="4"/>
  <c r="I16" i="4" s="1"/>
  <c r="H13" i="4"/>
  <c r="F13" i="4"/>
  <c r="E10" i="4"/>
  <c r="E31" i="4" s="1"/>
  <c r="D10" i="4"/>
  <c r="D31" i="4" s="1"/>
  <c r="C10" i="4"/>
  <c r="J9" i="4"/>
  <c r="I9" i="4"/>
  <c r="H9" i="4"/>
  <c r="K9" i="4" s="1"/>
  <c r="F9" i="4"/>
  <c r="J8" i="4"/>
  <c r="I8" i="4"/>
  <c r="H8" i="4"/>
  <c r="K8" i="4" s="1"/>
  <c r="F8" i="4"/>
  <c r="J7" i="4"/>
  <c r="J10" i="4" s="1"/>
  <c r="J31" i="4" s="1"/>
  <c r="I7" i="4"/>
  <c r="I10" i="4" s="1"/>
  <c r="I31" i="4" s="1"/>
  <c r="H7" i="4"/>
  <c r="F7" i="4"/>
  <c r="J4" i="4"/>
  <c r="I4" i="4"/>
  <c r="H4" i="4"/>
  <c r="E4" i="4"/>
  <c r="D4" i="4"/>
  <c r="C4" i="4"/>
  <c r="C2" i="4"/>
  <c r="C1" i="4"/>
  <c r="B38" i="3"/>
  <c r="D30" i="3"/>
  <c r="E20" i="3"/>
  <c r="D20" i="3"/>
  <c r="C20" i="3"/>
  <c r="E18" i="3"/>
  <c r="D18" i="3"/>
  <c r="C18" i="3"/>
  <c r="E17" i="3"/>
  <c r="D17" i="3"/>
  <c r="C17" i="3"/>
  <c r="E16" i="3"/>
  <c r="D16" i="3"/>
  <c r="C16" i="3"/>
  <c r="E15" i="3"/>
  <c r="D15" i="3"/>
  <c r="C15" i="3"/>
  <c r="I13" i="3"/>
  <c r="G13" i="3"/>
  <c r="I12" i="3"/>
  <c r="G12" i="3"/>
  <c r="H11" i="3"/>
  <c r="G11" i="3"/>
  <c r="H10" i="3"/>
  <c r="G10" i="3"/>
  <c r="E10" i="3"/>
  <c r="D10" i="3"/>
  <c r="C10" i="3"/>
  <c r="E9" i="3"/>
  <c r="D9" i="3"/>
  <c r="C9" i="3"/>
  <c r="E8" i="3"/>
  <c r="D8" i="3"/>
  <c r="C8" i="3"/>
  <c r="E6" i="3"/>
  <c r="D6" i="3"/>
  <c r="C6" i="3"/>
  <c r="C2" i="3"/>
  <c r="C1" i="3"/>
  <c r="B38" i="2"/>
  <c r="D32" i="2"/>
  <c r="D13" i="2"/>
  <c r="D12" i="2"/>
  <c r="C2" i="2"/>
  <c r="C1" i="2"/>
  <c r="B30" i="1"/>
  <c r="A3" i="1"/>
  <c r="H10" i="4" l="1"/>
  <c r="K7" i="4"/>
  <c r="C31" i="4"/>
  <c r="F31" i="4" s="1"/>
  <c r="F10" i="4"/>
  <c r="H16" i="4"/>
  <c r="K16" i="4" s="1"/>
  <c r="K13" i="4"/>
  <c r="E8" i="11"/>
  <c r="D8" i="11"/>
  <c r="C8" i="11"/>
  <c r="O8" i="7"/>
  <c r="N8" i="7"/>
  <c r="M8" i="7"/>
  <c r="L8" i="7"/>
  <c r="K8" i="7"/>
  <c r="J8" i="7"/>
  <c r="I8" i="7"/>
  <c r="H8" i="7"/>
  <c r="G8" i="7"/>
  <c r="F8" i="7"/>
  <c r="E8" i="7"/>
  <c r="D8" i="7"/>
  <c r="C8" i="7"/>
  <c r="H22" i="4"/>
  <c r="K22" i="4" s="1"/>
  <c r="K19" i="4"/>
  <c r="E6" i="11"/>
  <c r="D6" i="11"/>
  <c r="C6" i="11"/>
  <c r="O5" i="7"/>
  <c r="N5" i="7"/>
  <c r="M5" i="7"/>
  <c r="L5" i="7"/>
  <c r="K5" i="7"/>
  <c r="J5" i="7"/>
  <c r="I5" i="7"/>
  <c r="H5" i="7"/>
  <c r="G5" i="7"/>
  <c r="F5" i="7"/>
  <c r="E5" i="7"/>
  <c r="D5" i="7"/>
  <c r="C5" i="7"/>
  <c r="O6" i="7"/>
  <c r="N6" i="7"/>
  <c r="M6" i="7"/>
  <c r="L6" i="7"/>
  <c r="K6" i="7"/>
  <c r="J6" i="7"/>
  <c r="I6" i="7"/>
  <c r="H6" i="7"/>
  <c r="G6" i="7"/>
  <c r="F6" i="7"/>
  <c r="E6" i="7"/>
  <c r="D6" i="7"/>
  <c r="C6" i="7"/>
  <c r="H28" i="4"/>
  <c r="K28" i="4" s="1"/>
  <c r="K25" i="4"/>
  <c r="E9" i="11"/>
  <c r="D9" i="11"/>
  <c r="C9" i="11"/>
  <c r="O10" i="7"/>
  <c r="N10" i="7"/>
  <c r="M10" i="7"/>
  <c r="L10" i="7"/>
  <c r="K10" i="7"/>
  <c r="J10" i="7"/>
  <c r="I10" i="7"/>
  <c r="H10" i="7"/>
  <c r="G10" i="7"/>
  <c r="F10" i="7"/>
  <c r="E10" i="7"/>
  <c r="D10" i="7"/>
  <c r="C10" i="7"/>
  <c r="C27" i="5"/>
  <c r="C21" i="5"/>
  <c r="E11" i="5"/>
  <c r="D27" i="5"/>
  <c r="D21" i="5"/>
  <c r="N13" i="7"/>
  <c r="M13" i="7"/>
  <c r="L13" i="7"/>
  <c r="K13" i="7"/>
  <c r="J13" i="7"/>
  <c r="I13" i="7"/>
  <c r="H13" i="7"/>
  <c r="G13" i="7"/>
  <c r="F13" i="7"/>
  <c r="E13" i="7"/>
  <c r="D13" i="7"/>
  <c r="C13" i="7"/>
  <c r="G109" i="6"/>
  <c r="E15" i="11"/>
  <c r="D15" i="11"/>
  <c r="C15" i="11"/>
  <c r="N14" i="7"/>
  <c r="M14" i="7"/>
  <c r="L14" i="7"/>
  <c r="K14" i="7"/>
  <c r="J14" i="7"/>
  <c r="I14" i="7"/>
  <c r="H14" i="7"/>
  <c r="G14" i="7"/>
  <c r="F14" i="7"/>
  <c r="E14" i="7"/>
  <c r="D14" i="7"/>
  <c r="C14" i="7"/>
  <c r="O14" i="7" s="1"/>
  <c r="N15" i="7"/>
  <c r="M15" i="7"/>
  <c r="L15" i="7"/>
  <c r="K15" i="7"/>
  <c r="J15" i="7"/>
  <c r="I15" i="7"/>
  <c r="H15" i="7"/>
  <c r="G15" i="7"/>
  <c r="F15" i="7"/>
  <c r="E15" i="7"/>
  <c r="D15" i="7"/>
  <c r="C15" i="7"/>
  <c r="O15" i="7" s="1"/>
  <c r="N17" i="7"/>
  <c r="M17" i="7"/>
  <c r="L17" i="7"/>
  <c r="K17" i="7"/>
  <c r="J17" i="7"/>
  <c r="I17" i="7"/>
  <c r="H17" i="7"/>
  <c r="G17" i="7"/>
  <c r="F17" i="7"/>
  <c r="E17" i="7"/>
  <c r="D17" i="7"/>
  <c r="C17" i="7"/>
  <c r="O17" i="7" s="1"/>
  <c r="N16" i="7"/>
  <c r="M16" i="7"/>
  <c r="L16" i="7"/>
  <c r="K16" i="7"/>
  <c r="J16" i="7"/>
  <c r="I16" i="7"/>
  <c r="H16" i="7"/>
  <c r="G16" i="7"/>
  <c r="F16" i="7"/>
  <c r="E16" i="7"/>
  <c r="D16" i="7"/>
  <c r="C16" i="7"/>
  <c r="O16" i="7" s="1"/>
  <c r="N25" i="7"/>
  <c r="M25" i="7"/>
  <c r="L25" i="7"/>
  <c r="K25" i="7"/>
  <c r="J25" i="7"/>
  <c r="I25" i="7"/>
  <c r="H25" i="7"/>
  <c r="G25" i="7"/>
  <c r="F25" i="7"/>
  <c r="E25" i="7"/>
  <c r="D25" i="7"/>
  <c r="C25" i="7"/>
  <c r="O25" i="7" s="1"/>
  <c r="N24" i="7"/>
  <c r="M24" i="7"/>
  <c r="L24" i="7"/>
  <c r="K24" i="7"/>
  <c r="J24" i="7"/>
  <c r="I24" i="7"/>
  <c r="H24" i="7"/>
  <c r="G24" i="7"/>
  <c r="F24" i="7"/>
  <c r="E24" i="7"/>
  <c r="D24" i="7"/>
  <c r="C24" i="7"/>
  <c r="O24" i="7" s="1"/>
  <c r="L23" i="7"/>
  <c r="I22" i="7"/>
  <c r="G21" i="7"/>
  <c r="D20" i="7"/>
  <c r="D26" i="7" s="1"/>
  <c r="D57" i="7" s="1"/>
  <c r="C26" i="7"/>
  <c r="C57" i="7" s="1"/>
  <c r="O20" i="7"/>
  <c r="E26" i="7"/>
  <c r="E57" i="7" s="1"/>
  <c r="F26" i="7"/>
  <c r="F57" i="7" s="1"/>
  <c r="G26" i="7"/>
  <c r="G57" i="7" s="1"/>
  <c r="H26" i="7"/>
  <c r="H57" i="7" s="1"/>
  <c r="I26" i="7"/>
  <c r="I57" i="7" s="1"/>
  <c r="J26" i="7"/>
  <c r="J57" i="7" s="1"/>
  <c r="K26" i="7"/>
  <c r="K57" i="7" s="1"/>
  <c r="L26" i="7"/>
  <c r="L57" i="7" s="1"/>
  <c r="M26" i="7"/>
  <c r="M57" i="7" s="1"/>
  <c r="N26" i="7"/>
  <c r="N57" i="7" s="1"/>
  <c r="O21" i="7"/>
  <c r="O22" i="7"/>
  <c r="O23" i="7"/>
  <c r="C44" i="7"/>
  <c r="C59" i="7" s="1"/>
  <c r="O38" i="7"/>
  <c r="O44" i="7" s="1"/>
  <c r="O59" i="7" s="1"/>
  <c r="E28" i="8"/>
  <c r="C28" i="8"/>
  <c r="E17" i="11"/>
  <c r="D17" i="11"/>
  <c r="C17" i="11"/>
  <c r="E29" i="8"/>
  <c r="C29" i="8"/>
  <c r="E27" i="8"/>
  <c r="C27" i="8"/>
  <c r="E18" i="11"/>
  <c r="D18" i="11"/>
  <c r="C18" i="11"/>
  <c r="D29" i="8"/>
  <c r="E16" i="11"/>
  <c r="D16" i="11"/>
  <c r="C16" i="11"/>
  <c r="E10" i="11"/>
  <c r="D10" i="11"/>
  <c r="C10" i="11"/>
  <c r="E24" i="12"/>
  <c r="G22" i="12"/>
  <c r="G24" i="12" l="1"/>
  <c r="E5" i="12"/>
  <c r="O26" i="7"/>
  <c r="O57" i="7" s="1"/>
  <c r="E14" i="11"/>
  <c r="E22" i="11" s="1"/>
  <c r="D14" i="11"/>
  <c r="D22" i="11" s="1"/>
  <c r="C14" i="11"/>
  <c r="C22" i="11" s="1"/>
  <c r="C6" i="10"/>
  <c r="E14" i="3"/>
  <c r="D14" i="3"/>
  <c r="C14" i="3"/>
  <c r="C18" i="7"/>
  <c r="C56" i="7" s="1"/>
  <c r="O13" i="7"/>
  <c r="O18" i="7" s="1"/>
  <c r="O56" i="7" s="1"/>
  <c r="D18" i="7"/>
  <c r="D56" i="7" s="1"/>
  <c r="E18" i="7"/>
  <c r="E56" i="7" s="1"/>
  <c r="F18" i="7"/>
  <c r="F56" i="7" s="1"/>
  <c r="G18" i="7"/>
  <c r="G56" i="7" s="1"/>
  <c r="H18" i="7"/>
  <c r="H56" i="7" s="1"/>
  <c r="I18" i="7"/>
  <c r="I56" i="7" s="1"/>
  <c r="J18" i="7"/>
  <c r="J56" i="7" s="1"/>
  <c r="K18" i="7"/>
  <c r="K56" i="7" s="1"/>
  <c r="L18" i="7"/>
  <c r="L56" i="7" s="1"/>
  <c r="M18" i="7"/>
  <c r="M56" i="7" s="1"/>
  <c r="N18" i="7"/>
  <c r="N56" i="7" s="1"/>
  <c r="D34" i="5"/>
  <c r="D26" i="5"/>
  <c r="D25" i="5"/>
  <c r="D24" i="5"/>
  <c r="C26" i="5"/>
  <c r="E26" i="5" s="1"/>
  <c r="C25" i="5"/>
  <c r="E25" i="5" s="1"/>
  <c r="C24" i="5"/>
  <c r="C34" i="5" s="1"/>
  <c r="E21" i="5"/>
  <c r="E27" i="5"/>
  <c r="E7" i="11"/>
  <c r="E11" i="11" s="1"/>
  <c r="E25" i="11" s="1"/>
  <c r="D7" i="11"/>
  <c r="D11" i="11" s="1"/>
  <c r="D25" i="11" s="1"/>
  <c r="C7" i="11"/>
  <c r="C11" i="11" s="1"/>
  <c r="C25" i="11" s="1"/>
  <c r="O7" i="7"/>
  <c r="O11" i="7" s="1"/>
  <c r="O55" i="7" s="1"/>
  <c r="O61" i="7" s="1"/>
  <c r="N7" i="7"/>
  <c r="N11" i="7" s="1"/>
  <c r="N55" i="7" s="1"/>
  <c r="N61" i="7" s="1"/>
  <c r="M7" i="7"/>
  <c r="M11" i="7" s="1"/>
  <c r="M55" i="7" s="1"/>
  <c r="M61" i="7" s="1"/>
  <c r="L7" i="7"/>
  <c r="L11" i="7" s="1"/>
  <c r="L55" i="7" s="1"/>
  <c r="L61" i="7" s="1"/>
  <c r="K7" i="7"/>
  <c r="K11" i="7" s="1"/>
  <c r="K55" i="7" s="1"/>
  <c r="K61" i="7" s="1"/>
  <c r="J7" i="7"/>
  <c r="J11" i="7" s="1"/>
  <c r="J55" i="7" s="1"/>
  <c r="J61" i="7" s="1"/>
  <c r="I7" i="7"/>
  <c r="I11" i="7" s="1"/>
  <c r="I55" i="7" s="1"/>
  <c r="I61" i="7" s="1"/>
  <c r="H7" i="7"/>
  <c r="H11" i="7" s="1"/>
  <c r="H55" i="7" s="1"/>
  <c r="H61" i="7" s="1"/>
  <c r="G7" i="7"/>
  <c r="G11" i="7" s="1"/>
  <c r="G55" i="7" s="1"/>
  <c r="G61" i="7" s="1"/>
  <c r="F7" i="7"/>
  <c r="F11" i="7" s="1"/>
  <c r="F55" i="7" s="1"/>
  <c r="F61" i="7" s="1"/>
  <c r="E7" i="7"/>
  <c r="E11" i="7" s="1"/>
  <c r="E55" i="7" s="1"/>
  <c r="E61" i="7" s="1"/>
  <c r="D7" i="7"/>
  <c r="D11" i="7" s="1"/>
  <c r="D55" i="7" s="1"/>
  <c r="D61" i="7" s="1"/>
  <c r="C7" i="7"/>
  <c r="C11" i="7" s="1"/>
  <c r="C55" i="7" s="1"/>
  <c r="C61" i="7" s="1"/>
  <c r="E7" i="3"/>
  <c r="D7" i="3"/>
  <c r="C7" i="3"/>
  <c r="C11" i="3" s="1"/>
  <c r="H31" i="4"/>
  <c r="K31" i="4" s="1"/>
  <c r="K10" i="4"/>
  <c r="E11" i="3" l="1"/>
  <c r="D11" i="3"/>
  <c r="E21" i="3"/>
  <c r="D21" i="3"/>
  <c r="C21" i="3"/>
  <c r="C31" i="5"/>
  <c r="E24" i="5"/>
  <c r="E31" i="5" s="1"/>
  <c r="C35" i="5"/>
  <c r="D31" i="5"/>
  <c r="H13" i="3" s="1"/>
  <c r="D35" i="5"/>
  <c r="C22" i="3"/>
  <c r="F6" i="10"/>
  <c r="H8" i="3" s="1"/>
  <c r="E6" i="10"/>
  <c r="G5" i="12"/>
  <c r="H9" i="3" s="1"/>
  <c r="H7" i="3"/>
  <c r="E22" i="3" l="1"/>
  <c r="D22" i="3"/>
  <c r="C25" i="3"/>
  <c r="E35" i="5"/>
  <c r="H14" i="3"/>
  <c r="H12" i="3"/>
  <c r="H6" i="3"/>
  <c r="H5" i="3"/>
  <c r="E25" i="3" l="1"/>
  <c r="D25" i="3"/>
</calcChain>
</file>

<file path=xl/sharedStrings.xml><?xml version="1.0" encoding="utf-8"?>
<sst xmlns="http://schemas.openxmlformats.org/spreadsheetml/2006/main" count="993" uniqueCount="724">
  <si>
    <t>Intellectual Property Notice &amp; Terms of Use</t>
  </si>
  <si>
    <t>© Baobab Group of Companies (incl. Baobab CFO Pty Ltd &amp; Baobab Consulting). No unauthorised use or reproduction without prior written permission.</t>
  </si>
  <si>
    <t>INTELLECTUAL PROPERTY</t>
  </si>
  <si>
    <t>Ownership</t>
  </si>
  <si>
    <t>This workbook and all of its contents — including but not limited to its structure, formulas, design, data, calculations, brand elements and methodology — are the exclusive intellectual property of the Baobab Group of Companies, including Baobab CFO Pty Ltd and Baobab Consulting (collectively ‘Baobab’).</t>
  </si>
  <si>
    <t>Copyright</t>
  </si>
  <si>
    <t>© 2026 Baobab Group of Companies. All rights reserved. No part of this workbook may be reproduced, distributed, modified, adapted, translated, publicly performed, published or sub-licensed in any form or by any means, electronic or mechanical, without prior written permission from Baobab Consulting.</t>
  </si>
  <si>
    <t>Unauthorised Use</t>
  </si>
  <si>
    <t>Any unauthorised use, reproduction, distribution or modification of this workbook or its contents constitutes an infringement of Baobab’s intellectual property rights and may result in civil and/or criminal liability under the Copyright Act 1968 (Cth) and applicable intellectual property laws.</t>
  </si>
  <si>
    <t>TERMS OF USE</t>
  </si>
  <si>
    <t>Licensed Use</t>
  </si>
  <si>
    <t>This workbook is provided to the named client exclusively for their personal financial planning purposes. Use is limited to the client and their authorised representatives. This licence is non-transferable and non-sublicensable.</t>
  </si>
  <si>
    <t>Prohibited Uses</t>
  </si>
  <si>
    <t>You may not: (a) share or distribute this workbook to any third party; (b) use it to create competing products or services; (c) remove, alter or obscure any copyright notices, branding or IP notices; (d) reverse-engineer, decompile or extract the underlying methodology.</t>
  </si>
  <si>
    <t>Confidentiality</t>
  </si>
  <si>
    <t>This workbook contains confidential financial information and proprietary methodology. Recipients must treat it as confidential and not disclose its contents to any third party without prior written consent.</t>
  </si>
  <si>
    <t>DISCLAIMER</t>
  </si>
  <si>
    <t>Planning Only</t>
  </si>
  <si>
    <t>This workbook is for financial planning and modelling purposes only. It does not constitute financial, tax, legal or accounting advice. Outputs are estimates based on the information provided and current known rates. Always engage a registered tax agent or financial adviser for formal advice.</t>
  </si>
  <si>
    <t>Accuracy</t>
  </si>
  <si>
    <t>Baobab Consulting takes reasonable care to ensure accuracy but does not warrant that figures are correct for any specific purpose. The client is responsible for verifying all data entered and outputs produced.</t>
  </si>
  <si>
    <t>Contact</t>
  </si>
  <si>
    <t>For permissions, licensing enquiries or to report a breach of these terms, contact Baobab Consulting. Unauthorised use will be pursued.</t>
  </si>
  <si>
    <t>FAMILY &amp; GENERAL</t>
  </si>
  <si>
    <t>ATO TAX BRACKETS 2025–26 (Ref)</t>
  </si>
  <si>
    <t>Setting</t>
  </si>
  <si>
    <t>Value</t>
  </si>
  <si>
    <t>Notes</t>
  </si>
  <si>
    <t>Taxable Income</t>
  </si>
  <si>
    <t>Rate</t>
  </si>
  <si>
    <t>Base Tax + Marginal</t>
  </si>
  <si>
    <t>Financial Year</t>
  </si>
  <si>
    <t>2025-26</t>
  </si>
  <si>
    <t>Change each year</t>
  </si>
  <si>
    <t>$0 – $18,200</t>
  </si>
  <si>
    <t>0%</t>
  </si>
  <si>
    <t>Nil</t>
  </si>
  <si>
    <t>Family Name</t>
  </si>
  <si>
    <t>Le</t>
  </si>
  <si>
    <t>$18,201 – $45,000</t>
  </si>
  <si>
    <t>16c</t>
  </si>
  <si>
    <t>Nil + 16c over $18,200</t>
  </si>
  <si>
    <t>Person 1 Name</t>
  </si>
  <si>
    <t>Lina</t>
  </si>
  <si>
    <t>$45,001 – $135,000</t>
  </si>
  <si>
    <t>30c</t>
  </si>
  <si>
    <t>$4,288 + 30c over $45,000</t>
  </si>
  <si>
    <t>Person 2 Name</t>
  </si>
  <si>
    <t>TBC</t>
  </si>
  <si>
    <t>$135,001 – $190,000</t>
  </si>
  <si>
    <t>37c</t>
  </si>
  <si>
    <t>$31,288 + 37c over $135,000</t>
  </si>
  <si>
    <t>Number of Dependents</t>
  </si>
  <si>
    <t>For tax offset calcs</t>
  </si>
  <si>
    <t>$190,001+</t>
  </si>
  <si>
    <t>45c</t>
  </si>
  <si>
    <t>$51,638 + 45c over $190,000</t>
  </si>
  <si>
    <t>Trust Name</t>
  </si>
  <si>
    <t>Le Family Trust</t>
  </si>
  <si>
    <t>Trust Distribution — Person 1</t>
  </si>
  <si>
    <t>Medicare Levy</t>
  </si>
  <si>
    <t>2.0%</t>
  </si>
  <si>
    <t>On full taxable income</t>
  </si>
  <si>
    <t>Trust Distribution — Person 2</t>
  </si>
  <si>
    <t>LITO (max)</t>
  </si>
  <si>
    <t>$700</t>
  </si>
  <si>
    <t>Phases out $37,500–$66,667</t>
  </si>
  <si>
    <t>LMITO</t>
  </si>
  <si>
    <t>Ceased FY2022-23</t>
  </si>
  <si>
    <t>RATES &amp; ASSUMPTIONS</t>
  </si>
  <si>
    <t>RBA Cash Rate</t>
  </si>
  <si>
    <t>4.35%</t>
  </si>
  <si>
    <t>As at April 2026</t>
  </si>
  <si>
    <t>Assumed Mortgage Rate</t>
  </si>
  <si>
    <t>6.20%</t>
  </si>
  <si>
    <t>Investment loans</t>
  </si>
  <si>
    <t>Assumed Mortgage Rate (PPOR)</t>
  </si>
  <si>
    <t>6.00%</t>
  </si>
  <si>
    <t>Principal residence</t>
  </si>
  <si>
    <t>Inflation Assumption</t>
  </si>
  <si>
    <t>3.0%</t>
  </si>
  <si>
    <t>CPI for cost escalation</t>
  </si>
  <si>
    <t>Property Growth Rate (p.a.)</t>
  </si>
  <si>
    <t>5.0%</t>
  </si>
  <si>
    <t>Assumed capital growth</t>
  </si>
  <si>
    <t>Share Market Return (p.a.)</t>
  </si>
  <si>
    <t>9.0%</t>
  </si>
  <si>
    <t>Long-run ASX avg</t>
  </si>
  <si>
    <t>Super Guarantee Rate</t>
  </si>
  <si>
    <t>12.0%</t>
  </si>
  <si>
    <t>FY2025-26 SGC rate</t>
  </si>
  <si>
    <t>Concessional Cap (FY25)</t>
  </si>
  <si>
    <t>$30,000</t>
  </si>
  <si>
    <t>Per ATO FY2025-26</t>
  </si>
  <si>
    <t>Non-Concessional Cap</t>
  </si>
  <si>
    <t>$120,000</t>
  </si>
  <si>
    <t>📋 HOW TO USE — ASSUMPTIONS</t>
  </si>
  <si>
    <t>This is the master settings hub. Change values here and they flow automatically through the entire workbook.</t>
  </si>
  <si>
    <t>→  Yellow cells</t>
  </si>
  <si>
    <t>Enter your own values (names, rates, splits)</t>
  </si>
  <si>
    <t>→  Financial Year</t>
  </si>
  <si>
    <t>Update to '2025-26' each July — tax brackets update automatically</t>
  </si>
  <si>
    <t>→  Trust Distribution %</t>
  </si>
  <si>
    <t>→  SGC Rate</t>
  </si>
  <si>
    <t>12% for FY 2025-26 (employer super on top of salary)</t>
  </si>
  <si>
    <t>→  Green cells</t>
  </si>
  <si>
    <t>These are reference-only — do not edit</t>
  </si>
  <si>
    <t>💡 Tip</t>
  </si>
  <si>
    <t>Update this tab first at the start of each financial year before touching any other tab.</t>
  </si>
  <si>
    <t>CASHFLOW &amp; TAX SETTINGS</t>
  </si>
  <si>
    <t>Link Cashflow to Annual Budget</t>
  </si>
  <si>
    <t>YES</t>
  </si>
  <si>
    <t>YES = auto-fill Monthly Cashflow from budgets  |  NO = manual entry</t>
  </si>
  <si>
    <t>Dividend Franking Rate</t>
  </si>
  <si>
    <t>1.0 = 100% fully franked (standard ASX).  0.5 = 50% franked</t>
  </si>
  <si>
    <t>Corporate / Company Tax Rate</t>
  </si>
  <si>
    <t>30% standard  |  25% for Base Rate Entity / small business (turnover &lt;$50M)</t>
  </si>
  <si>
    <t>COLOUR GUIDE</t>
  </si>
  <si>
    <t>Sample</t>
  </si>
  <si>
    <t>Warm amber with gold accent</t>
  </si>
  <si>
    <t>Enter your data — these cells are unlocked</t>
  </si>
  <si>
    <t>Sage green</t>
  </si>
  <si>
    <t>Calculated automatically — do not edit</t>
  </si>
  <si>
    <t>Deep brown</t>
  </si>
  <si>
    <t>Section header — use for navigation</t>
  </si>
  <si>
    <t>Warm gold</t>
  </si>
  <si>
    <t>Subtotal or grouping row</t>
  </si>
  <si>
    <t>Forest green</t>
  </si>
  <si>
    <t>Column header — identifies data type</t>
  </si>
  <si>
    <t>Category</t>
  </si>
  <si>
    <t>Weekly</t>
  </si>
  <si>
    <t>Monthly</t>
  </si>
  <si>
    <t>Annual</t>
  </si>
  <si>
    <t>KEY PLANNING METRICS</t>
  </si>
  <si>
    <t>INCOME</t>
  </si>
  <si>
    <t>Savings Rate</t>
  </si>
  <si>
    <t>Target: &gt;20%</t>
  </si>
  <si>
    <t>Salary / Wages</t>
  </si>
  <si>
    <t>Debt Service Ratio</t>
  </si>
  <si>
    <t>Target: &lt;30%</t>
  </si>
  <si>
    <t>Trust / Business Income</t>
  </si>
  <si>
    <t>Mortgage Debt / Assets</t>
  </si>
  <si>
    <t>LVR across all loans</t>
  </si>
  <si>
    <t>Consulting Income</t>
  </si>
  <si>
    <t>Emergency Fund (months)</t>
  </si>
  <si>
    <t>Target: 3–6 months</t>
  </si>
  <si>
    <t>Investment Returns</t>
  </si>
  <si>
    <t>Total Net Worth</t>
  </si>
  <si>
    <t>Assets less Liabilities</t>
  </si>
  <si>
    <t>Net Rental Income</t>
  </si>
  <si>
    <t>See Goals &amp; Super tab</t>
  </si>
  <si>
    <t>TOTAL INCOME</t>
  </si>
  <si>
    <t>EXPENDITURE</t>
  </si>
  <si>
    <t>Household Expenses</t>
  </si>
  <si>
    <t>Annual Tax Combined</t>
  </si>
  <si>
    <t>Total tax burden</t>
  </si>
  <si>
    <t>Entertainment &amp; Social</t>
  </si>
  <si>
    <t>Investment Property Costs</t>
  </si>
  <si>
    <t>Debt — Investment Loans</t>
  </si>
  <si>
    <t>Debt — Private Loans</t>
  </si>
  <si>
    <t>Capital Expenditure</t>
  </si>
  <si>
    <t>Discretionary (Holidays)</t>
  </si>
  <si>
    <t>Savings / Investments</t>
  </si>
  <si>
    <t>TOTAL EXPENSES</t>
  </si>
  <si>
    <t>CASHFLOW SURPLUS / (DEFICIT)</t>
  </si>
  <si>
    <t>Net Cashflow</t>
  </si>
  <si>
    <t>📋 HOW TO USE — DASHBOARD</t>
  </si>
  <si>
    <t>This tab is read-only — all figures here flow automatically from the detail tabs.</t>
  </si>
  <si>
    <t>→  Purpose</t>
  </si>
  <si>
    <t>→  Savings Rate</t>
  </si>
  <si>
    <t>Target &gt;20%. If below 10% — review household expenses first</t>
  </si>
  <si>
    <t>→  Debt Service Ratio</t>
  </si>
  <si>
    <t>Target &lt;30% of income. Above 40% = financial stress zone</t>
  </si>
  <si>
    <t>→  Net Worth</t>
  </si>
  <si>
    <t>Updated from the A+L tab — fill that in to see this change</t>
  </si>
  <si>
    <t>→  Tax Combined</t>
  </si>
  <si>
    <t>Flows from Tax Estimator — enter income there for live estimates</t>
  </si>
  <si>
    <t>Show this tab to clients at the start of each review meeting as a conversation starter.</t>
  </si>
  <si>
    <t>Income Source</t>
  </si>
  <si>
    <t>Total</t>
  </si>
  <si>
    <t>Business Income — Dividends</t>
  </si>
  <si>
    <t>Shrunk</t>
  </si>
  <si>
    <t>XXX</t>
  </si>
  <si>
    <t>Other Dividends</t>
  </si>
  <si>
    <t xml:space="preserve">  Subtotal — Business Income — Dividends</t>
  </si>
  <si>
    <t>Other State</t>
  </si>
  <si>
    <t xml:space="preserve">  Subtotal — Consulting Income</t>
  </si>
  <si>
    <t>NET SALARY — Take-home Cash Received</t>
  </si>
  <si>
    <t>Other</t>
  </si>
  <si>
    <t xml:space="preserve">  Subtotal — Net Salary / Wages</t>
  </si>
  <si>
    <t>Investment Income</t>
  </si>
  <si>
    <t>Dividend Income (cash received)</t>
  </si>
  <si>
    <t>Interest Income</t>
  </si>
  <si>
    <t>Other Investment</t>
  </si>
  <si>
    <t xml:space="preserve">  Subtotal — Investment Income</t>
  </si>
  <si>
    <t>TOTAL CASH INCOME</t>
  </si>
  <si>
    <t>TOTAL</t>
  </si>
  <si>
    <t>📋 HOW TO USE — INCOME PLANNING</t>
  </si>
  <si>
    <t>Record NET income received in your bank account. SALARY = take-home after tax and super deducted.  Enter as MONTHLY amounts — annual figures auto-calculate on the right.</t>
  </si>
  <si>
    <t>→ Columns C/D/E = Trust / Person 1 / Person 2 monthly NET amounts (take-home cash)</t>
  </si>
  <si>
    <t>→  Column F</t>
  </si>
  <si>
    <t>Total monthly — auto-calculated from C+D+E</t>
  </si>
  <si>
    <t>→  Columns H–K</t>
  </si>
  <si>
    <t>Annual equivalents — auto-calculated × 12 from monthly</t>
  </si>
  <si>
    <t>→  Franking Credits</t>
  </si>
  <si>
    <t>Include grossed-up value — important for Tax Estimator accuracy</t>
  </si>
  <si>
    <t>→  Net Salary</t>
  </si>
  <si>
    <t>Enter after-tax take-home pay here. Use Tax Estimator for gross income</t>
  </si>
  <si>
    <t>Enter zero ('0') not blank for unused income sources — this prevents formula errors.</t>
  </si>
  <si>
    <t>Description</t>
  </si>
  <si>
    <t>Combined</t>
  </si>
  <si>
    <t>SUPER CONTRIBUTIONS  (FY2025-26)</t>
  </si>
  <si>
    <t>INCOME — Enter GROSS (pre-tax) taxable amounts</t>
  </si>
  <si>
    <t>Type</t>
  </si>
  <si>
    <t>Gross Salary / Wages (pre-tax)</t>
  </si>
  <si>
    <t>SGC — Employer (12%)</t>
  </si>
  <si>
    <t>Trust Distributions Received</t>
  </si>
  <si>
    <t>Salary Sacrifice</t>
  </si>
  <si>
    <t>Consulting / Business Income</t>
  </si>
  <si>
    <t>Personal Contributions</t>
  </si>
  <si>
    <t>Net Rental Income / (Loss)</t>
  </si>
  <si>
    <t>Concessional Total</t>
  </si>
  <si>
    <t>Dividend Income</t>
  </si>
  <si>
    <t>Concessional Cap (FY2025-26)</t>
  </si>
  <si>
    <t>Franking Credits (auto-calculated)</t>
  </si>
  <si>
    <t>Remaining Cap</t>
  </si>
  <si>
    <t>Other Income</t>
  </si>
  <si>
    <t>ALLOWABLE DEDUCTIONS — Enter your deductible expenses below</t>
  </si>
  <si>
    <t>Work-related, investment costs, other ATO-approved deductions</t>
  </si>
  <si>
    <t>Work-Related Expenses</t>
  </si>
  <si>
    <t>Enter name in description cell ⬅  (amber field is editable)</t>
  </si>
  <si>
    <t>Investment Property Expenses</t>
  </si>
  <si>
    <t>Income Protection Insurance</t>
  </si>
  <si>
    <t>Other Deduction</t>
  </si>
  <si>
    <t>Total Allowable Deductions</t>
  </si>
  <si>
    <t>Sum of deductions reduces taxable income</t>
  </si>
  <si>
    <t>TAXABLE INCOME</t>
  </si>
  <si>
    <t>Gross income minus allowable deductions</t>
  </si>
  <si>
    <t>TAX CALCULATION  —  FY 2025–26 ATO Rates</t>
  </si>
  <si>
    <t>Gross Income Tax</t>
  </si>
  <si>
    <t>ATO marginal rates FY2025-26 (Stage 3 cuts)</t>
  </si>
  <si>
    <t>Less: LITO</t>
  </si>
  <si>
    <t>Low Income Tax Offset — auto-calculated</t>
  </si>
  <si>
    <t>Add: Medicare Levy (2%)</t>
  </si>
  <si>
    <t>2% of taxable income (simplified — shade-in applies $26K–$32.5K)</t>
  </si>
  <si>
    <t>Less: Franking Credits</t>
  </si>
  <si>
    <t>Imputation credit offset — flows from income section</t>
  </si>
  <si>
    <t>Less: PAYG Withheld during year</t>
  </si>
  <si>
    <t>Total withheld by employer(s) — from annual PAYG summaries</t>
  </si>
  <si>
    <t>Less: Other Credits &amp; Adjustments</t>
  </si>
  <si>
    <t>Foreign tax credits, private health offset, spouse contributions, etc.</t>
  </si>
  <si>
    <t>TAX BALANCE DUE / (REFUND)</t>
  </si>
  <si>
    <t>Positive = owe ATO  ·  (Brackets) = refund from ATO</t>
  </si>
  <si>
    <t>ADDITIONAL INFORMATION</t>
  </si>
  <si>
    <t>Effective Tax Rate</t>
  </si>
  <si>
    <t>True tax rate on taxable income (before PAYG adjustment)</t>
  </si>
  <si>
    <t>Net After-Tax Income</t>
  </si>
  <si>
    <t>Taxable income minus gross tax liability</t>
  </si>
  <si>
    <t>Estimated SGC — Employer (12%)</t>
  </si>
  <si>
    <t>Super paid by employer on top of gross salary (capped $65,070/qtr)</t>
  </si>
  <si>
    <t>HOW TO USE — TAX ESTIMATOR</t>
  </si>
  <si>
    <t>→  Income section</t>
  </si>
  <si>
    <t>Enter GROSS (pre-tax) amounts. Salary = employer pays before tax &amp; super.</t>
  </si>
  <si>
    <t>→  Deductions</t>
  </si>
  <si>
    <t>Name each deduction in the amber label cell. Enter amounts in C &amp; D.</t>
  </si>
  <si>
    <t>→  Taxable Income</t>
  </si>
  <si>
    <t>Gross income minus your total allowable deductions.</t>
  </si>
  <si>
    <t>→  PAYG Withheld</t>
  </si>
  <si>
    <t>Enter total tax withheld from payslips — reduces your balance due.</t>
  </si>
  <si>
    <t>→  Balance Due/(Refund)</t>
  </si>
  <si>
    <t>What you owe or get back at tax time after all offsets and PAYG.</t>
  </si>
  <si>
    <t>→  Corp. Tax Rate</t>
  </si>
  <si>
    <t>Set in Assumptions — 30% standard, 25% Base Rate Entity / small business.</t>
  </si>
  <si>
    <t>→  Disclaimer</t>
  </si>
  <si>
    <t>Planning purposes only — engage a registered tax agent for lodgement.</t>
  </si>
  <si>
    <t>Expense Category</t>
  </si>
  <si>
    <t>Per Week
(enter here)</t>
  </si>
  <si>
    <t>Per Month
(enter here)</t>
  </si>
  <si>
    <t>Per Quarter
(enter here)</t>
  </si>
  <si>
    <t>Per Year
(enter here)</t>
  </si>
  <si>
    <t>ANNUAL
TOTAL</t>
  </si>
  <si>
    <t>GROCERIES &amp; FOOD</t>
  </si>
  <si>
    <t>ENTERTAINMENT — PERSON 1</t>
  </si>
  <si>
    <t>Groceries / Supermarket</t>
  </si>
  <si>
    <t>Coffees</t>
  </si>
  <si>
    <t>Fresh Produce / Deli</t>
  </si>
  <si>
    <t>Work Lunches</t>
  </si>
  <si>
    <t>Baby / Pet Food</t>
  </si>
  <si>
    <t>Weekend Brunches / Lunches</t>
  </si>
  <si>
    <t xml:space="preserve">  Total — GROCERIES &amp; FOOD</t>
  </si>
  <si>
    <t>Dinners Out</t>
  </si>
  <si>
    <t>HOME — PRINCIPAL RESIDENCE</t>
  </si>
  <si>
    <t>Pub / Bar</t>
  </si>
  <si>
    <t>Council Rates</t>
  </si>
  <si>
    <t>Weekends Away</t>
  </si>
  <si>
    <t>Water</t>
  </si>
  <si>
    <t>Personal Cash</t>
  </si>
  <si>
    <t>Electricity</t>
  </si>
  <si>
    <t xml:space="preserve">  Total — ENTERTAINMENT — PERSON 1</t>
  </si>
  <si>
    <t>Gas</t>
  </si>
  <si>
    <t>ENTERTAINMENT — PERSON 2</t>
  </si>
  <si>
    <t>Home Insurance</t>
  </si>
  <si>
    <t>Contents Insurance</t>
  </si>
  <si>
    <t>Major Household (furniture, appliances)</t>
  </si>
  <si>
    <t>Minor Maintenance &amp; Garden</t>
  </si>
  <si>
    <t xml:space="preserve">  Total — HOME — PRINCIPAL RESIDENCE</t>
  </si>
  <si>
    <t>POOL &amp; OUTDOOR</t>
  </si>
  <si>
    <t>Pool Maintenance</t>
  </si>
  <si>
    <t>Gardening / Lawn</t>
  </si>
  <si>
    <t xml:space="preserve">  Total — ENTERTAINMENT — PERSON 2</t>
  </si>
  <si>
    <t xml:space="preserve">  Total — POOL &amp; OUTDOOR</t>
  </si>
  <si>
    <t>ENTERTAINMENT — JOINT / FAMILY</t>
  </si>
  <si>
    <t>TELEPHONE &amp; INTERNET</t>
  </si>
  <si>
    <t>Restaurants</t>
  </si>
  <si>
    <t>Fixed Line / NBN</t>
  </si>
  <si>
    <t>Fast Food / Takeaway</t>
  </si>
  <si>
    <t>Mobile — Person 1</t>
  </si>
  <si>
    <t>Outings (cinema, sport, concerts)</t>
  </si>
  <si>
    <t>Mobile — Person 2</t>
  </si>
  <si>
    <t>Kids Entertainment</t>
  </si>
  <si>
    <t>Mobile — Dependents</t>
  </si>
  <si>
    <t>Beer &amp; Wine (home)</t>
  </si>
  <si>
    <t xml:space="preserve">  Total — TELEPHONE &amp; INTERNET</t>
  </si>
  <si>
    <t>Home Entertaining</t>
  </si>
  <si>
    <t>STREAMING &amp; SUBSCRIPTIONS</t>
  </si>
  <si>
    <t>Family Activities</t>
  </si>
  <si>
    <t>Netflix / Stan / Disney</t>
  </si>
  <si>
    <t xml:space="preserve">  Total — ENTERTAINMENT — JOINT / FAMILY</t>
  </si>
  <si>
    <t>Spotify / Music</t>
  </si>
  <si>
    <t>News / Magazines</t>
  </si>
  <si>
    <t>TOTAL ENTERTAINMENT SPEND</t>
  </si>
  <si>
    <t>Other Subscriptions</t>
  </si>
  <si>
    <t>TOTAL ENTERTAINMENT</t>
  </si>
  <si>
    <t xml:space="preserve">  Total — STREAMING &amp; SUBSCRIPTIONS</t>
  </si>
  <si>
    <t>VEHICLE 1</t>
  </si>
  <si>
    <t>Insurance</t>
  </si>
  <si>
    <t>Registration</t>
  </si>
  <si>
    <t>Lease / Loan Payment</t>
  </si>
  <si>
    <t>Fuel</t>
  </si>
  <si>
    <t>Repairs &amp; Service</t>
  </si>
  <si>
    <t>RACV / NRMA</t>
  </si>
  <si>
    <t xml:space="preserve">  Total — VEHICLE 1</t>
  </si>
  <si>
    <t>VEHICLE 2</t>
  </si>
  <si>
    <t xml:space="preserve">  Total — VEHICLE 2</t>
  </si>
  <si>
    <t>PUBLIC TRANSPORT &amp; CABS</t>
  </si>
  <si>
    <t>Myki / Opal / PT</t>
  </si>
  <si>
    <t>Taxi / Uber</t>
  </si>
  <si>
    <t>Parking</t>
  </si>
  <si>
    <t xml:space="preserve">  Total — PUBLIC TRANSPORT &amp; CABS</t>
  </si>
  <si>
    <t>HEALTH &amp; MEDICAL</t>
  </si>
  <si>
    <t>Private Health Insurance</t>
  </si>
  <si>
    <t>GP / Specialist Visits</t>
  </si>
  <si>
    <t>Pharmacy</t>
  </si>
  <si>
    <t>Dental</t>
  </si>
  <si>
    <t>Orthodontics</t>
  </si>
  <si>
    <t>Physio / Allied Health</t>
  </si>
  <si>
    <t>Mental Health / Psychology</t>
  </si>
  <si>
    <t xml:space="preserve">  Total — HEALTH &amp; MEDICAL</t>
  </si>
  <si>
    <t>CLOTHING &amp; GROOMING</t>
  </si>
  <si>
    <t>Person 1 — Clothing</t>
  </si>
  <si>
    <t>Person 2 — Clothing</t>
  </si>
  <si>
    <t>Dependents — Clothing</t>
  </si>
  <si>
    <t>Haircuts — Adults</t>
  </si>
  <si>
    <t>Haircuts — Kids</t>
  </si>
  <si>
    <t>Grooming / Beauty</t>
  </si>
  <si>
    <t xml:space="preserve">  Total — CLOTHING &amp; GROOMING</t>
  </si>
  <si>
    <t>EDUCATION &amp; CHILDREN</t>
  </si>
  <si>
    <t>School Fees</t>
  </si>
  <si>
    <t>Uniforms &amp; Books</t>
  </si>
  <si>
    <t>Sport &amp; Activities</t>
  </si>
  <si>
    <t>Tutoring</t>
  </si>
  <si>
    <t>Child Care / After School</t>
  </si>
  <si>
    <t>Child Support</t>
  </si>
  <si>
    <t xml:space="preserve">  Total — EDUCATION &amp; CHILDREN</t>
  </si>
  <si>
    <t>WORK-RELATED COSTS</t>
  </si>
  <si>
    <t>Professional Memberships</t>
  </si>
  <si>
    <t>Work Subscriptions</t>
  </si>
  <si>
    <t>Other Work Costs</t>
  </si>
  <si>
    <t xml:space="preserve">  Total — WORK-RELATED COSTS</t>
  </si>
  <si>
    <t>HEALTH &amp; FITNESS</t>
  </si>
  <si>
    <t>Gym / Pilates / Yoga</t>
  </si>
  <si>
    <t>Other Fitness</t>
  </si>
  <si>
    <t xml:space="preserve">  Total — HEALTH &amp; FITNESS</t>
  </si>
  <si>
    <t>GIFTS &amp; DONATIONS</t>
  </si>
  <si>
    <t>Birthdays</t>
  </si>
  <si>
    <t>Christmas</t>
  </si>
  <si>
    <t>Other Gifts</t>
  </si>
  <si>
    <t>Charitable Donations</t>
  </si>
  <si>
    <t xml:space="preserve">  Total — GIFTS &amp; DONATIONS</t>
  </si>
  <si>
    <t>HOLIDAYS &amp; TRAVEL</t>
  </si>
  <si>
    <t>Holiday Home Costs</t>
  </si>
  <si>
    <t>Annual Overseas Trip</t>
  </si>
  <si>
    <t>Domestic Travel</t>
  </si>
  <si>
    <t>Other Travel</t>
  </si>
  <si>
    <t xml:space="preserve">  Total — HOLIDAYS &amp; TRAVEL</t>
  </si>
  <si>
    <t>MISCELLANEOUS</t>
  </si>
  <si>
    <t>Pet Costs</t>
  </si>
  <si>
    <t>Other Expenses</t>
  </si>
  <si>
    <t xml:space="preserve">  Total — MISCELLANEOUS</t>
  </si>
  <si>
    <t>TOTAL ANNUAL HOUSEHOLD EXPENSES</t>
  </si>
  <si>
    <t>GRAND TOTAL</t>
  </si>
  <si>
    <t>📋 HOW TO USE — HOUSEHOLD EXPENDITURE</t>
  </si>
  <si>
    <t>Enter amounts in ONE frequency column only per item. Annual total auto-calculates from whichever column you use.</t>
  </si>
  <si>
    <t>→  Column C (Per Week)</t>
  </si>
  <si>
    <t>Enter if you pay/track this weekly (e.g. groceries: $300/wk)</t>
  </si>
  <si>
    <t>→  Column D (Per Month)</t>
  </si>
  <si>
    <t>Enter if paid monthly (e.g. electricity: $250/mo)</t>
  </si>
  <si>
    <t>→  Column E (Per Quarter)</t>
  </si>
  <si>
    <t>Enter if paid quarterly (e.g. council rates: $800/qtr)</t>
  </si>
  <si>
    <t>→  Column F (Per Year)</t>
  </si>
  <si>
    <t>Enter annual lump sums (e.g. car registration: $900/yr)</t>
  </si>
  <si>
    <t>→  Column G (Annual Total)</t>
  </si>
  <si>
    <t>Auto-calculated — do not enter here. Sum of all frequency columns × multiplier</t>
  </si>
  <si>
    <t>→  Right side (Cols I–N)</t>
  </si>
  <si>
    <t>Entertainment breakdown per person — separate to household expenses</t>
  </si>
  <si>
    <t>Start with Groceries and Vehicle expenses first — these are usually the biggest surprises.</t>
  </si>
  <si>
    <t>Jan</t>
  </si>
  <si>
    <t>Feb</t>
  </si>
  <si>
    <t>Mar</t>
  </si>
  <si>
    <t>Apr</t>
  </si>
  <si>
    <t>May</t>
  </si>
  <si>
    <t>Jun</t>
  </si>
  <si>
    <t>Jul</t>
  </si>
  <si>
    <t>Aug</t>
  </si>
  <si>
    <t>Sep</t>
  </si>
  <si>
    <t>Oct</t>
  </si>
  <si>
    <t>Nov</t>
  </si>
  <si>
    <t>Dec</t>
  </si>
  <si>
    <t xml:space="preserve">  Trust Distributions</t>
  </si>
  <si>
    <t xml:space="preserve">  Consulting Income</t>
  </si>
  <si>
    <t xml:space="preserve">  Rental Income (net)</t>
  </si>
  <si>
    <t xml:space="preserve">  Dividends / Investment</t>
  </si>
  <si>
    <t xml:space="preserve">  Total — INCOME</t>
  </si>
  <si>
    <t>HOUSEHOLD EXPENSES</t>
  </si>
  <si>
    <t xml:space="preserve">  Groceries &amp; Food</t>
  </si>
  <si>
    <t xml:space="preserve">  Utilities (electricity, gas, water)</t>
  </si>
  <si>
    <t xml:space="preserve">  Council Rates (usually quarterly)</t>
  </si>
  <si>
    <t xml:space="preserve">  Insurance — Home &amp; Car</t>
  </si>
  <si>
    <t xml:space="preserve">  Subscriptions &amp; Streaming</t>
  </si>
  <si>
    <t xml:space="preserve">  Total — HOUSEHOLD EXPENSES</t>
  </si>
  <si>
    <t xml:space="preserve">  School Fees (Term 1)</t>
  </si>
  <si>
    <t xml:space="preserve">  School Fees (Term 2)</t>
  </si>
  <si>
    <t xml:space="preserve">  School Fees (Term 3)</t>
  </si>
  <si>
    <t xml:space="preserve">  School Fees (Term 4)</t>
  </si>
  <si>
    <t xml:space="preserve">  Uniforms &amp; Books</t>
  </si>
  <si>
    <t xml:space="preserve">  Sport &amp; Activities</t>
  </si>
  <si>
    <t>IRREGULAR / ONE-OFF EXPENSES</t>
  </si>
  <si>
    <t xml:space="preserve">  Car Registration</t>
  </si>
  <si>
    <t xml:space="preserve">  Private Health — Annual Renewal</t>
  </si>
  <si>
    <t xml:space="preserve">  Dentist / Medical (annual)</t>
  </si>
  <si>
    <t xml:space="preserve">  Holidays</t>
  </si>
  <si>
    <t xml:space="preserve">  Christmas Gifts</t>
  </si>
  <si>
    <t xml:space="preserve">  Birthdays</t>
  </si>
  <si>
    <t xml:space="preserve">  Property Maintenance (unplanned)</t>
  </si>
  <si>
    <t xml:space="preserve">  Other Large Expenses</t>
  </si>
  <si>
    <t xml:space="preserve">  Total — IRREGULAR / ONE-OFF EXPENSES</t>
  </si>
  <si>
    <t>DEBT REPAYMENTS</t>
  </si>
  <si>
    <t xml:space="preserve">  Investment Loan 1</t>
  </si>
  <si>
    <t xml:space="preserve">  Investment Loan 2</t>
  </si>
  <si>
    <t xml:space="preserve">  Investment Loan 3</t>
  </si>
  <si>
    <t>Personal Loan</t>
  </si>
  <si>
    <t xml:space="preserve">  Credit Card Minimum</t>
  </si>
  <si>
    <t xml:space="preserve">  Total — DEBT REPAYMENTS</t>
  </si>
  <si>
    <t>SAVINGS &amp; INVESTMENTS</t>
  </si>
  <si>
    <t xml:space="preserve">  Emergency Fund Top-up</t>
  </si>
  <si>
    <t xml:space="preserve">  Share Purchases</t>
  </si>
  <si>
    <t xml:space="preserve">  Salary Sacrifice (super)</t>
  </si>
  <si>
    <t xml:space="preserve">  Holiday Fund</t>
  </si>
  <si>
    <t xml:space="preserve">  Education Fund</t>
  </si>
  <si>
    <t xml:space="preserve">  Total — SAVINGS &amp; INVESTMENTS</t>
  </si>
  <si>
    <t>MONTHLY CASHFLOW SUMMARY</t>
  </si>
  <si>
    <t>Summary Item</t>
  </si>
  <si>
    <t>Total Income</t>
  </si>
  <si>
    <t>Total Expenses</t>
  </si>
  <si>
    <t>Education</t>
  </si>
  <si>
    <t>Irregular</t>
  </si>
  <si>
    <t>Debt</t>
  </si>
  <si>
    <t>Savings</t>
  </si>
  <si>
    <t>NET CASHFLOW (Surplus/Deficit)</t>
  </si>
  <si>
    <t>📋 HOW TO USE — MONTHLY CASHFLOW</t>
  </si>
  <si>
    <t>Map expected income and expenses to the actual calendar month they occur. Reveals timing gaps the annual budget misses.</t>
  </si>
  <si>
    <t>Enter expected NET income per month — use actuals once known</t>
  </si>
  <si>
    <t>→  Education (school fees)</t>
  </si>
  <si>
    <t>Australian school fees are Term-based: T1=Feb, T2=May, T3=Jul, T4=Oct</t>
  </si>
  <si>
    <t>→  Irregular expenses</t>
  </si>
  <si>
    <t>This is where Christmas, holidays, car rego all live — the 'ambush' expenses</t>
  </si>
  <si>
    <t>→  Net Cashflow row</t>
  </si>
  <si>
    <t>Positive = surplus, (brackets) = deficit. Red months need advance planning</t>
  </si>
  <si>
    <t>→  Savings/Investments</t>
  </si>
  <si>
    <t>Enter planned share purchases, extra super, holiday savings here</t>
  </si>
  <si>
    <t>Fill in Term 1 school fees in February, Term 4 in October, Christmas in December. These three months usually show the biggest deficits.</t>
  </si>
  <si>
    <t>Property / Asset</t>
  </si>
  <si>
    <t>Loan Balance</t>
  </si>
  <si>
    <t>Interest Rate</t>
  </si>
  <si>
    <t>P &amp; I or IO</t>
  </si>
  <si>
    <t>Monthly Interest</t>
  </si>
  <si>
    <t>Loan Term (yrs)</t>
  </si>
  <si>
    <t>Monthly Repayment</t>
  </si>
  <si>
    <t>INVESTMENT LOANS (Tax Deductible)</t>
  </si>
  <si>
    <t>e.g. Investment Property 1</t>
  </si>
  <si>
    <t>P&amp;I</t>
  </si>
  <si>
    <t>Investment</t>
  </si>
  <si>
    <t>e.g. Investment Property 2</t>
  </si>
  <si>
    <t>e.g. Investment Property 3</t>
  </si>
  <si>
    <t>e.g. Investment Property 4</t>
  </si>
  <si>
    <t>e.g. Shares / Margin Loan</t>
  </si>
  <si>
    <t>e.g. Investment Property 5</t>
  </si>
  <si>
    <t>e.g. Other Investment</t>
  </si>
  <si>
    <t>TOTAL INVESTMENT LOANS</t>
  </si>
  <si>
    <t>PRIVATE / NON-DEDUCTIBLE LOANS</t>
  </si>
  <si>
    <t>e.g. Principal Residence (PPOR)</t>
  </si>
  <si>
    <t>Private</t>
  </si>
  <si>
    <t>e.g. Vehicle Loan</t>
  </si>
  <si>
    <t>e.g. Personal Loan</t>
  </si>
  <si>
    <t>e.g. Credit Card</t>
  </si>
  <si>
    <t>TOTAL PRIVATE LOANS</t>
  </si>
  <si>
    <t>COMBINED DEBT SUMMARY</t>
  </si>
  <si>
    <t>Total Loan Balance</t>
  </si>
  <si>
    <t>Total Monthly Interest</t>
  </si>
  <si>
    <t>Total Monthly Repayment</t>
  </si>
  <si>
    <t>📋 HOW TO USE — DEBT SCHEDULE</t>
  </si>
  <si>
    <t>Enter loan details. Monthly repayment calculates automatically using PMT formula.</t>
  </si>
  <si>
    <t>→  Investment Loans section</t>
  </si>
  <si>
    <t>All loans where interest is tax-deductible (rental properties, investment shares)</t>
  </si>
  <si>
    <t>→  Private Loans section</t>
  </si>
  <si>
    <t>Home loan (PPOR), car loans, personal loans — interest NOT deductible</t>
  </si>
  <si>
    <t>→  Interest Rate</t>
  </si>
  <si>
    <t>Enter as a decimal e.g. 6.2% = enter 0.062 — or Excel format 6.20%</t>
  </si>
  <si>
    <t>→  P&amp;I or IO</t>
  </si>
  <si>
    <t>Enter 'P&amp;I' for principal + interest, or 'IO' for interest-only loans</t>
  </si>
  <si>
    <t>→  Monthly Repayment</t>
  </si>
  <si>
    <t>Auto-calculated via PMT — compare to your actual bank statement</t>
  </si>
  <si>
    <t>→  Loan Term</t>
  </si>
  <si>
    <t>Enter remaining years (e.g. 25 if 5 years into a 30-year loan)</t>
  </si>
  <si>
    <t>For interest-only loans, the repayment = interest only. Ensure 'IO' is entered in the P&amp;I column.</t>
  </si>
  <si>
    <t>Property 1</t>
  </si>
  <si>
    <t>Property 2</t>
  </si>
  <si>
    <t>Property 3</t>
  </si>
  <si>
    <t>Property 4</t>
  </si>
  <si>
    <t>Item</t>
  </si>
  <si>
    <t>Total (4 props)</t>
  </si>
  <si>
    <t>Property Address:</t>
  </si>
  <si>
    <t>Weeks Rented:</t>
  </si>
  <si>
    <t>Weekly Rent:</t>
  </si>
  <si>
    <t>PORTFOLIO SUMMARY</t>
  </si>
  <si>
    <t>Ownership %</t>
  </si>
  <si>
    <t>Total Rent Received</t>
  </si>
  <si>
    <t>Rent Received</t>
  </si>
  <si>
    <t>Total Net (Your Share)</t>
  </si>
  <si>
    <t>EXPENSES</t>
  </si>
  <si>
    <t>Advertising for Tenants</t>
  </si>
  <si>
    <t>Body Corporate Fees</t>
  </si>
  <si>
    <t>Borrowing Expenses</t>
  </si>
  <si>
    <t>Cleaning</t>
  </si>
  <si>
    <t>Depreciation on Plant</t>
  </si>
  <si>
    <t>Gardening / Lawn Mowing</t>
  </si>
  <si>
    <t>Interest on Loan</t>
  </si>
  <si>
    <t>Land Tax</t>
  </si>
  <si>
    <t>Legal Fees</t>
  </si>
  <si>
    <t>Pest Control</t>
  </si>
  <si>
    <t>Property Agent Fees</t>
  </si>
  <si>
    <t>Repairs &amp; Maintenance</t>
  </si>
  <si>
    <t>Capital Works Deduction</t>
  </si>
  <si>
    <t>Water Charges</t>
  </si>
  <si>
    <t>Sundry</t>
  </si>
  <si>
    <t>Net Profit / (Loss)</t>
  </si>
  <si>
    <t>Your Share (Net)</t>
  </si>
  <si>
    <t>📋 HOW TO USE — RENTAL PROPERTIES</t>
  </si>
  <si>
    <t>Enter details for up to 4 rental properties. Each column is a separate property.</t>
  </si>
  <si>
    <t>→  Weekly Rent × Weeks</t>
  </si>
  <si>
    <t>Formula auto-calculates gross annual rent. Adjust weeks for vacancies.</t>
  </si>
  <si>
    <t>→  Ownership %</t>
  </si>
  <si>
    <t>If jointly owned 50/50, enter 0.5. Sole owner = 1.0</t>
  </si>
  <si>
    <t>→  Expenses</t>
  </si>
  <si>
    <t>Enter annual cost for each expense line. Interest on Loan feeds from Debt Schedule.</t>
  </si>
  <si>
    <t>→  Capital Works Deduction</t>
  </si>
  <si>
    <t>Enter annual depreciation schedule amount (from quantity surveyor report)</t>
  </si>
  <si>
    <t>→  NET PROFIT/LOSS</t>
  </si>
  <si>
    <t>If negative = negatively geared. This offsets other income at tax time.</t>
  </si>
  <si>
    <t>→  Your Share</t>
  </si>
  <si>
    <t>Net result × ownership %. This is what flows to your tax return.</t>
  </si>
  <si>
    <t>Get a depreciation schedule for each property — it can add $3,000–$8,000 in annual tax deductions.</t>
  </si>
  <si>
    <t>GOAL 1 — EMERGENCY FUND</t>
  </si>
  <si>
    <t>Target</t>
  </si>
  <si>
    <t>Current Balance</t>
  </si>
  <si>
    <t>Shortfall</t>
  </si>
  <si>
    <t>Months Coverage</t>
  </si>
  <si>
    <t>Emergency Fund</t>
  </si>
  <si>
    <t>GOAL TRACKER — SAVINGS GOALS</t>
  </si>
  <si>
    <t>Goal</t>
  </si>
  <si>
    <t>Target Amount</t>
  </si>
  <si>
    <t>Current Saved</t>
  </si>
  <si>
    <t>Target Date</t>
  </si>
  <si>
    <t>Monthly Req.</t>
  </si>
  <si>
    <t>Annual Overseas Holiday</t>
  </si>
  <si>
    <t>Dec-25</t>
  </si>
  <si>
    <t>Holiday Home / Short Stays</t>
  </si>
  <si>
    <t>Education Fund — Child 1</t>
  </si>
  <si>
    <t>Jan-30</t>
  </si>
  <si>
    <t>Education Fund — Child 2</t>
  </si>
  <si>
    <t>Jan-32</t>
  </si>
  <si>
    <t>Car Replacement — Vehicle 1</t>
  </si>
  <si>
    <t>Jun-27</t>
  </si>
  <si>
    <t>Car Replacement — Vehicle 2</t>
  </si>
  <si>
    <t>Jun-28</t>
  </si>
  <si>
    <t>Home Renovation</t>
  </si>
  <si>
    <t>Jun-26</t>
  </si>
  <si>
    <t>Investment Property — Next Purchase</t>
  </si>
  <si>
    <t>Other Goal 1</t>
  </si>
  <si>
    <t>Other Goal 2</t>
  </si>
  <si>
    <t>SUPERANNUATION TRACKER</t>
  </si>
  <si>
    <t>Super Item</t>
  </si>
  <si>
    <t>Current Super Balance</t>
  </si>
  <si>
    <t>Enter current balance</t>
  </si>
  <si>
    <t>Age</t>
  </si>
  <si>
    <t>Current age</t>
  </si>
  <si>
    <t>Target Retirement Age</t>
  </si>
  <si>
    <t>Typical: 60-67</t>
  </si>
  <si>
    <t>Years to Retirement</t>
  </si>
  <si>
    <t>Auto-calculated</t>
  </si>
  <si>
    <t>Annual Super Contributions (Total)</t>
  </si>
  <si>
    <t>SGC + voluntary</t>
  </si>
  <si>
    <t>Projected Super at Retirement</t>
  </si>
  <si>
    <t>7% p.a. growth est.</t>
  </si>
  <si>
    <t>Target Super at Retirement</t>
  </si>
  <si>
    <t>ASFA comfortable single</t>
  </si>
  <si>
    <t>Super Shortfall</t>
  </si>
  <si>
    <t>RETIREMENT INCOME PLANNING</t>
  </si>
  <si>
    <t>Target Annual Income in Retirement</t>
  </si>
  <si>
    <t>Expected Annual Pension Age Pension</t>
  </si>
  <si>
    <t>If eligible (FY26: ~$30,000 pa couples)</t>
  </si>
  <si>
    <t>Net Annual Income from Super</t>
  </si>
  <si>
    <t>Auto calc or enter</t>
  </si>
  <si>
    <t>Rental Income (in retirement)</t>
  </si>
  <si>
    <t>From investment properties</t>
  </si>
  <si>
    <t>Annual Shortfall / Surplus</t>
  </si>
  <si>
    <t>📋 HOW TO USE — GOALS &amp; MILESTONES</t>
  </si>
  <si>
    <t>Track every financial goal in one place. Monthly Required auto-calculates how much to save each month.</t>
  </si>
  <si>
    <t>→  Emergency Fund</t>
  </si>
  <si>
    <t>Auto-targets 6 months of expenses from the Household Expenditure tab. Fill in Current Balance.</t>
  </si>
  <si>
    <t>→  Savings Goals table</t>
  </si>
  <si>
    <t>Enter Target Amount, Current Saved, and Target Date. Monthly Required calculates automatically.</t>
  </si>
  <si>
    <t>→  Superannuation section</t>
  </si>
  <si>
    <t>Enter current balance and age. Review annually at end of financial year.</t>
  </si>
  <si>
    <t>12% — if employer pays less, report to ATO via the Super Guarantee Charge process.</t>
  </si>
  <si>
    <t>→  Concessional Cap</t>
  </si>
  <si>
    <t>$30,000 total (SGC + salary sacrifice + personal deductible). Unused caps can carry forward.</t>
  </si>
  <si>
    <t>→  Retirement Planning</t>
  </si>
  <si>
    <t>Review this tab every 6 months. Small increases to savings goals early make a large difference over 20+ years.</t>
  </si>
  <si>
    <t>Trust / Dividends</t>
  </si>
  <si>
    <t>Consulting</t>
  </si>
  <si>
    <t>Total INCOME</t>
  </si>
  <si>
    <t>TOTAL OUTGOINGS</t>
  </si>
  <si>
    <t>Entertainment</t>
  </si>
  <si>
    <t>Investment Property</t>
  </si>
  <si>
    <t>Investment Debt</t>
  </si>
  <si>
    <t>Private Debt</t>
  </si>
  <si>
    <t>Discretionary</t>
  </si>
  <si>
    <t>Total Outgoings</t>
  </si>
  <si>
    <t>NET CASHFLOW</t>
  </si>
  <si>
    <t>📋 HOW TO USE — SUMMARY</t>
  </si>
  <si>
    <t>High-level household cashflow overview. Most figures here link automatically from the detail tabs.</t>
  </si>
  <si>
    <t>Share this tab with clients as the key meeting summary — one page view</t>
  </si>
  <si>
    <t>→  Weekly / Monthly / Annual</t>
  </si>
  <si>
    <t>Three views of the same figures. Weekly is most relatable for day-to-day planning.</t>
  </si>
  <si>
    <t>→  Surplus / (Deficit)</t>
  </si>
  <si>
    <t>Positive = cash left over. Negative = spending exceeds income — immediate action needed.</t>
  </si>
  <si>
    <t>→  Discretionary + Savings</t>
  </si>
  <si>
    <t>Yellow = enter here. These are the most flexible parts of the budget.</t>
  </si>
  <si>
    <t>The Surplus figure should ideally be zero-based (YNAB model) — every surplus dollar allocated to a Goal.</t>
  </si>
  <si>
    <t>Details</t>
  </si>
  <si>
    <t>Assets</t>
  </si>
  <si>
    <t>Liabilities</t>
  </si>
  <si>
    <t>Net Assets</t>
  </si>
  <si>
    <t>Ownership Entity</t>
  </si>
  <si>
    <t>TOTALS</t>
  </si>
  <si>
    <t>PROPERTY — Personal Residence</t>
  </si>
  <si>
    <t>PROPERTY</t>
  </si>
  <si>
    <t>Main Residence</t>
  </si>
  <si>
    <t>Enter current market value and loan balance</t>
  </si>
  <si>
    <t>Joint</t>
  </si>
  <si>
    <t>Holiday Home / Investment</t>
  </si>
  <si>
    <t xml:space="preserve">  Subtotal</t>
  </si>
  <si>
    <t>PROPERTY — Investment Properties</t>
  </si>
  <si>
    <t>Investment Property 1</t>
  </si>
  <si>
    <t>Enter loan balance — see Debt Schedule for detail</t>
  </si>
  <si>
    <t>Investment Property 2</t>
  </si>
  <si>
    <t>Investment Property 3</t>
  </si>
  <si>
    <t>Investment Property 4</t>
  </si>
  <si>
    <t>CASH &amp; SAVINGS</t>
  </si>
  <si>
    <t>Transaction Accounts</t>
  </si>
  <si>
    <t>Savings Accounts</t>
  </si>
  <si>
    <t>Term Deposits</t>
  </si>
  <si>
    <t>SUPERANNUATION</t>
  </si>
  <si>
    <t>→ Links from Goals &amp; Super tab</t>
  </si>
  <si>
    <t>SHARES &amp; INVESTMENTS</t>
  </si>
  <si>
    <t>ASX Listed Shares</t>
  </si>
  <si>
    <t>Managed Funds</t>
  </si>
  <si>
    <t>Other Investments</t>
  </si>
  <si>
    <t>BUSINESS INTERESTS</t>
  </si>
  <si>
    <t>Business value</t>
  </si>
  <si>
    <t>Trust</t>
  </si>
  <si>
    <t>Other Business Interest</t>
  </si>
  <si>
    <t>CREDIT CARDS</t>
  </si>
  <si>
    <t>Credit Card 1</t>
  </si>
  <si>
    <t>Credit Card 2</t>
  </si>
  <si>
    <t>OTHER ASSETS</t>
  </si>
  <si>
    <t>Motor Vehicles</t>
  </si>
  <si>
    <t>Personal Property</t>
  </si>
  <si>
    <t>📋 HOW TO USE — ASSETS &amp; LIABILITIES</t>
  </si>
  <si>
    <t>Build the family's full balance sheet. Update at each review — quarterly is ideal.</t>
  </si>
  <si>
    <t>→  Assets column (E)</t>
  </si>
  <si>
    <t>Enter current market value for each asset (property: council valuation or REA estimate)</t>
  </si>
  <si>
    <t>→  Liabilities column (F)</t>
  </si>
  <si>
    <t>Enter current loan balance for each liability</t>
  </si>
  <si>
    <t>→  Net Assets (G)</t>
  </si>
  <si>
    <t>Auto-calculated as Assets – Liabilities per row</t>
  </si>
  <si>
    <t>→  Totals row (top)</t>
  </si>
  <si>
    <t>Sum of all Assets, Liabilities, Net Assets across all categories</t>
  </si>
  <si>
    <t>→  Ownership Entity</t>
  </si>
  <si>
    <t>→  Superannuation</t>
  </si>
  <si>
    <t>→  As at date</t>
  </si>
  <si>
    <t>Update the date (cell C3) each time you refresh the balance sheet</t>
  </si>
  <si>
    <t>Property values should be conservative estimates, not wishful thinking. Use recent comparable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</si>
</sst>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Red]&quot;($&quot;#,##0\);\-"/>
    <numFmt numFmtId="166" formatCode="0.0\x"/>
    <numFmt numFmtId="167" formatCode="0.0"/>
  </numFmts>
  <fonts count="31">
    <font>
      <sz val="11"/>
      <color theme="1"/>
      <name val="Calibri"/>
      <family val="2"/>
      <charset val="1"/>
    </font>
    <font>
      <sz val="11"/>
      <name val="Calibri"/>
      <charset val="1"/>
    </font>
    <font>
      <b/>
      <sz val="16"/>
      <color rgb="FF2A1F0E"/>
      <name val="Calibri"/>
      <charset val="1"/>
    </font>
    <font>
      <b/>
      <sz val="18"/>
      <color rgb="FF2A1F0E"/>
      <name val="Calibri"/>
      <charset val="1"/>
    </font>
    <font>
      <i/>
      <sz val="8"/>
      <color rgb="FF8A7D6B"/>
      <name val="Calibri"/>
      <charset val="1"/>
    </font>
    <font>
      <i/>
      <sz val="7"/>
      <color rgb="FFC8B078"/>
      <name val="Calibri"/>
      <charset val="1"/>
    </font>
    <font>
      <b/>
      <sz val="10"/>
      <color rgb="FFFFFFFF"/>
      <name val="Calibri"/>
      <charset val="1"/>
    </font>
    <font>
      <b/>
      <sz val="10"/>
      <color rgb="FF2A1F0E"/>
      <name val="Calibri"/>
      <charset val="1"/>
    </font>
    <font>
      <sz val="10"/>
      <color rgb="FF1A1A1A"/>
      <name val="Calibri"/>
      <charset val="1"/>
    </font>
    <font>
      <sz val="10"/>
      <color rgb="FF888888"/>
      <name val="Calibri"/>
      <charset val="1"/>
    </font>
    <font>
      <sz val="10"/>
      <color rgb="FF555555"/>
      <name val="Calibri"/>
      <charset val="1"/>
    </font>
    <font>
      <b/>
      <sz val="9"/>
      <color rgb="FFFFFFFF"/>
      <name val="Calibri"/>
      <charset val="1"/>
    </font>
    <font>
      <sz val="9"/>
      <color rgb="FF5C4F3D"/>
      <name val="Calibri"/>
      <charset val="1"/>
    </font>
    <font>
      <sz val="9"/>
      <color rgb="FF8A7D6B"/>
      <name val="Calibri"/>
      <charset val="1"/>
    </font>
    <font>
      <b/>
      <sz val="9"/>
      <color rgb="FF5C4F3D"/>
      <name val="Calibri"/>
      <charset val="1"/>
    </font>
    <font>
      <sz val="8"/>
      <color rgb="FF1A1A1A"/>
      <name val="Calibri"/>
      <charset val="1"/>
    </font>
    <font>
      <b/>
      <sz val="9"/>
      <color rgb="FF1A1A1A"/>
      <name val="Calibri"/>
      <charset val="1"/>
    </font>
    <font>
      <i/>
      <sz val="9"/>
      <color rgb="FF8A7D6B"/>
      <name val="Calibri"/>
      <charset val="1"/>
    </font>
    <font>
      <sz val="8"/>
      <color rgb="FFFFFFFF"/>
      <name val="Calibri"/>
      <charset val="1"/>
    </font>
    <font>
      <b/>
      <sz val="10"/>
      <color rgb="FF1A1A1A"/>
      <name val="Calibri"/>
      <charset val="1"/>
    </font>
    <font>
      <b/>
      <sz val="8"/>
      <color rgb="FFFFFFFF"/>
      <name val="Calibri"/>
      <charset val="1"/>
    </font>
    <font>
      <b/>
      <sz val="9"/>
      <color rgb="FFF37B2D"/>
      <name val="Calibri"/>
      <charset val="1"/>
    </font>
    <font>
      <b/>
      <sz val="9"/>
      <color rgb="FF2C5F4C"/>
      <name val="Calibri"/>
      <charset val="1"/>
    </font>
    <font>
      <sz val="9"/>
      <color rgb="FF1A1A1A"/>
      <name val="Calibri"/>
      <charset val="1"/>
    </font>
    <font>
      <i/>
      <sz val="8"/>
      <color rgb="FFFFFFFF"/>
      <name val="Calibri"/>
      <charset val="1"/>
    </font>
    <font>
      <i/>
      <sz val="9"/>
      <color rgb="FFC0B8A8"/>
      <name val="Calibri"/>
      <charset val="1"/>
    </font>
    <font>
      <b/>
      <sz val="11"/>
      <color rgb="FF1A1A1A"/>
      <name val="Calibri"/>
      <charset val="1"/>
    </font>
    <font>
      <b/>
      <sz val="12"/>
      <color rgb="FFFFFFFF"/>
      <name val="Calibri"/>
      <charset val="1"/>
    </font>
    <font>
      <i/>
      <sz val="8"/>
      <color rgb="FFC8B890"/>
      <name val="Calibri"/>
      <charset val="1"/>
    </font>
    <font>
      <b/>
      <sz val="12"/>
      <color rgb="FFC8952A"/>
      <name val="Calibri"/>
      <charset val="1"/>
    </font>
    <font>
      <sz val="9"/>
      <color rgb="FF555555"/>
      <name val="Calibri"/>
      <charset val="1"/>
    </font>
  </fonts>
  <fills count="17">
    <fill>
      <patternFill patternType="none"/>
    </fill>
    <fill>
      <patternFill patternType="gray125"/>
    </fill>
    <fill>
      <patternFill patternType="solid">
        <fgColor rgb="FFF9F3E8"/>
        <bgColor rgb="FFF8F5F0"/>
      </patternFill>
    </fill>
    <fill>
      <patternFill patternType="solid">
        <fgColor rgb="FFFFFFFF"/>
        <bgColor rgb="FFFAFAFA"/>
      </patternFill>
    </fill>
    <fill>
      <patternFill patternType="solid">
        <fgColor rgb="FF2A1F0E"/>
        <bgColor rgb="FF1A1A1A"/>
      </patternFill>
    </fill>
    <fill>
      <patternFill patternType="solid">
        <fgColor rgb="FFF5EDD6"/>
        <bgColor rgb="FFF9F3E8"/>
      </patternFill>
    </fill>
    <fill>
      <patternFill patternType="solid">
        <fgColor rgb="FFFAFAFA"/>
        <bgColor rgb="FFFAF7F2"/>
      </patternFill>
    </fill>
    <fill>
      <patternFill patternType="solid">
        <fgColor rgb="FF2C5F4C"/>
        <bgColor rgb="FF555555"/>
      </patternFill>
    </fill>
    <fill>
      <patternFill patternType="solid">
        <fgColor rgb="FF5C4F3D"/>
        <bgColor rgb="FF5A4A2A"/>
      </patternFill>
    </fill>
    <fill>
      <patternFill patternType="solid">
        <fgColor rgb="FF6B2D2D"/>
        <bgColor rgb="FF4A3A1A"/>
      </patternFill>
    </fill>
    <fill>
      <patternFill patternType="solid">
        <fgColor rgb="FFFBF6EE"/>
        <bgColor rgb="FFFAF7F2"/>
      </patternFill>
    </fill>
    <fill>
      <patternFill patternType="solid">
        <fgColor rgb="FFFEF8E7"/>
        <bgColor rgb="FFFBF6EE"/>
      </patternFill>
    </fill>
    <fill>
      <patternFill patternType="solid">
        <fgColor rgb="FFFAF7F2"/>
        <bgColor rgb="FFFBF6EE"/>
      </patternFill>
    </fill>
    <fill>
      <patternFill patternType="solid">
        <fgColor rgb="FFF4F9F5"/>
        <bgColor rgb="FFF2F8F4"/>
      </patternFill>
    </fill>
    <fill>
      <patternFill patternType="solid">
        <fgColor rgb="FFF8F5F0"/>
        <bgColor rgb="FFFBF6EE"/>
      </patternFill>
    </fill>
    <fill>
      <patternFill patternType="solid">
        <fgColor rgb="FFF2F8F4"/>
        <bgColor rgb="FFF4F9F5"/>
      </patternFill>
    </fill>
    <fill>
      <patternFill patternType="solid">
        <fgColor rgb="FFC8952A"/>
        <bgColor rgb="FFF37B2D"/>
      </patternFill>
    </fill>
  </fills>
  <borders count="16">
    <border>
      <left/>
      <right/>
      <top/>
      <bottom/>
      <diagonal/>
    </border>
    <border>
      <left/>
      <right/>
      <top/>
      <bottom style="medium">
        <color rgb="FFC8952A"/>
      </bottom>
      <diagonal/>
    </border>
    <border>
      <left/>
      <right/>
      <top/>
      <bottom style="hair">
        <color rgb="FFEAE0D0"/>
      </bottom>
      <diagonal/>
    </border>
    <border>
      <left/>
      <right/>
      <top/>
      <bottom style="thin">
        <color rgb="FF5A4A2A"/>
      </bottom>
      <diagonal/>
    </border>
    <border>
      <left style="thin">
        <color rgb="FFE0D8CC"/>
      </left>
      <right style="thin">
        <color rgb="FFE0D8CC"/>
      </right>
      <top style="thin">
        <color rgb="FFE0D8CC"/>
      </top>
      <bottom style="thin">
        <color rgb="FFE0D8CC"/>
      </bottom>
      <diagonal/>
    </border>
    <border>
      <left style="thin">
        <color rgb="FFD0D0D0"/>
      </left>
      <right style="thin">
        <color rgb="FFD0D0D0"/>
      </right>
      <top style="thin">
        <color rgb="FFD0D0D0"/>
      </top>
      <bottom style="thin">
        <color rgb="FFD0D0D0"/>
      </bottom>
      <diagonal/>
    </border>
    <border>
      <left style="medium">
        <color rgb="FFC8952A"/>
      </left>
      <right style="thin">
        <color rgb="FFE8D8B0"/>
      </right>
      <top style="thin">
        <color rgb="FFE8D8B0"/>
      </top>
      <bottom style="thin">
        <color rgb="FFE8D8B0"/>
      </bottom>
      <diagonal/>
    </border>
    <border>
      <left/>
      <right/>
      <top style="medium">
        <color rgb="FFC8952A"/>
      </top>
      <bottom/>
      <diagonal/>
    </border>
    <border>
      <left style="thin">
        <color rgb="FFE0D8CC"/>
      </left>
      <right/>
      <top style="thin">
        <color rgb="FFE0D8CC"/>
      </top>
      <bottom style="thin">
        <color rgb="FFE0D8CC"/>
      </bottom>
      <diagonal/>
    </border>
    <border>
      <left/>
      <right/>
      <top/>
      <bottom style="thin">
        <color rgb="FFC8952A"/>
      </bottom>
      <diagonal/>
    </border>
    <border>
      <left/>
      <right/>
      <top style="medium">
        <color rgb="FFC8952A"/>
      </top>
      <bottom style="medium">
        <color rgb="FFC8952A"/>
      </bottom>
      <diagonal/>
    </border>
    <border>
      <left/>
      <right/>
      <top/>
      <bottom style="thin">
        <color rgb="FF4A3A1A"/>
      </bottom>
      <diagonal/>
    </border>
    <border>
      <left style="thin">
        <color rgb="FF3A2A0A"/>
      </left>
      <right style="thin">
        <color rgb="FF3A2A0A"/>
      </right>
      <top style="thin">
        <color rgb="FF3A2A0A"/>
      </top>
      <bottom style="thin">
        <color rgb="FF3A2A0A"/>
      </bottom>
      <diagonal/>
    </border>
    <border>
      <left style="thin">
        <color rgb="FFE0D8CC"/>
      </left>
      <right style="thin">
        <color rgb="FF3A2A0A"/>
      </right>
      <top style="thin">
        <color rgb="FFE0D8CC"/>
      </top>
      <bottom style="thin">
        <color rgb="FFE0D8CC"/>
      </bottom>
      <diagonal/>
    </border>
    <border>
      <left style="thin">
        <color rgb="FFE8E0D4"/>
      </left>
      <right style="thin">
        <color rgb="FFE8E0D4"/>
      </right>
      <top style="thin">
        <color rgb="FFE8E0D4"/>
      </top>
      <bottom style="thin">
        <color rgb="FFE8E0D4"/>
      </bottom>
      <diagonal/>
    </border>
    <border>
      <left style="thin">
        <color rgb="FFD0D0D0"/>
      </left>
      <right style="thin">
        <color rgb="FFE8D8B0"/>
      </right>
      <top style="thin">
        <color rgb="FFD0D0D0"/>
      </top>
      <bottom style="thin">
        <color rgb="FFD0D0D0"/>
      </bottom>
      <diagonal/>
    </border>
  </borders>
  <cellStyleXfs count="1">
    <xf numFmtId="0" fontId="0" fillId="0" borderId="0"/>
  </cellStyleXfs>
  <cellXfs count="157">
    <xf numFmtId="0" fontId="0" fillId="0" borderId="0" xfId="0"/>
    <xf numFmtId="0" fontId="0" fillId="0" borderId="0" xfId="0" applyAlignment="1"/>
    <xf numFmtId="0" fontId="0" fillId="2" borderId="0" xfId="0" applyFill="1" applyBorder="1" applyAlignment="1"/>
    <xf numFmtId="0" fontId="1" fillId="2" borderId="0" xfId="0" applyFont="1" applyFill="1" applyBorder="1" applyAlignment="1"/>
    <xf numFmtId="0" fontId="6" fillId="4" borderId="3" xfId="0" applyFont="1" applyFill="1" applyBorder="1" applyAlignment="1">
      <alignment horizontal="left" vertical="center" indent="1"/>
    </xf>
    <xf numFmtId="0" fontId="6" fillId="7" borderId="3" xfId="0" applyFont="1" applyFill="1" applyBorder="1" applyAlignment="1">
      <alignment horizontal="left" vertical="center" indent="1"/>
    </xf>
    <xf numFmtId="0" fontId="6" fillId="8" borderId="3" xfId="0" applyFont="1" applyFill="1" applyBorder="1" applyAlignment="1">
      <alignment horizontal="left" vertical="center" indent="1"/>
    </xf>
    <xf numFmtId="0" fontId="4" fillId="0" borderId="0" xfId="0" applyFont="1" applyAlignment="1">
      <alignment horizontal="left" vertical="center"/>
    </xf>
    <xf numFmtId="0" fontId="1" fillId="2" borderId="1" xfId="0" applyFont="1" applyFill="1" applyBorder="1" applyAlignment="1"/>
    <xf numFmtId="0" fontId="1" fillId="0" borderId="0" xfId="0" applyFont="1" applyAlignment="1"/>
    <xf numFmtId="0" fontId="1" fillId="3" borderId="2" xfId="0" applyFont="1" applyFill="1" applyBorder="1" applyAlignment="1"/>
    <xf numFmtId="0" fontId="1" fillId="4" borderId="0" xfId="0" applyFont="1" applyFill="1" applyAlignment="1"/>
    <xf numFmtId="0" fontId="8" fillId="10" borderId="5" xfId="0" applyFont="1" applyFill="1" applyBorder="1" applyAlignment="1">
      <alignment horizontal="left" vertical="center"/>
    </xf>
    <xf numFmtId="49" fontId="8" fillId="11" borderId="6" xfId="0" applyNumberFormat="1" applyFont="1" applyFill="1" applyBorder="1" applyAlignment="1" applyProtection="1">
      <alignment horizontal="left" vertical="center"/>
      <protection locked="0"/>
    </xf>
    <xf numFmtId="0" fontId="9" fillId="0" borderId="5" xfId="0" applyFont="1" applyBorder="1" applyAlignment="1">
      <alignment horizontal="left" vertical="center"/>
    </xf>
    <xf numFmtId="0" fontId="8" fillId="12" borderId="5" xfId="0" applyFont="1" applyFill="1" applyBorder="1" applyAlignment="1">
      <alignment horizontal="left" vertical="center"/>
    </xf>
    <xf numFmtId="49" fontId="8" fillId="13" borderId="5" xfId="0" applyNumberFormat="1" applyFont="1" applyFill="1" applyBorder="1" applyAlignment="1">
      <alignment horizontal="center" vertical="center" wrapText="1"/>
    </xf>
    <xf numFmtId="0" fontId="10" fillId="0" borderId="5" xfId="0" applyFont="1" applyBorder="1" applyAlignment="1">
      <alignment horizontal="left" vertical="center"/>
    </xf>
    <xf numFmtId="0" fontId="8" fillId="3" borderId="5" xfId="0" applyFont="1" applyFill="1" applyBorder="1" applyAlignment="1">
      <alignment horizontal="left" vertical="center"/>
    </xf>
    <xf numFmtId="1" fontId="8" fillId="11" borderId="6" xfId="0" applyNumberFormat="1" applyFont="1" applyFill="1" applyBorder="1" applyAlignment="1" applyProtection="1">
      <alignment horizontal="left" vertical="center"/>
      <protection locked="0"/>
    </xf>
    <xf numFmtId="0" fontId="8" fillId="10" borderId="5" xfId="0" applyFont="1" applyFill="1" applyBorder="1" applyAlignment="1">
      <alignment horizontal="left" vertical="center" wrapText="1"/>
    </xf>
    <xf numFmtId="9" fontId="8" fillId="11" borderId="6" xfId="0" applyNumberFormat="1" applyFont="1" applyFill="1" applyBorder="1" applyAlignment="1" applyProtection="1">
      <alignment horizontal="left" vertical="center"/>
      <protection locked="0"/>
    </xf>
    <xf numFmtId="0" fontId="8" fillId="12" borderId="5" xfId="0" applyFont="1" applyFill="1" applyBorder="1" applyAlignment="1">
      <alignment horizontal="left" vertical="center" wrapText="1"/>
    </xf>
    <xf numFmtId="0" fontId="0" fillId="3" borderId="7" xfId="0" applyFill="1" applyBorder="1" applyAlignment="1"/>
    <xf numFmtId="0" fontId="11" fillId="7" borderId="0" xfId="0" applyFont="1" applyFill="1" applyAlignment="1">
      <alignment horizontal="center" vertical="center" wrapText="1"/>
    </xf>
    <xf numFmtId="0" fontId="8" fillId="12" borderId="0" xfId="0" applyFont="1" applyFill="1" applyAlignment="1">
      <alignment horizontal="left" vertical="center" wrapText="1"/>
    </xf>
    <xf numFmtId="0" fontId="13" fillId="0" borderId="0" xfId="0" applyFont="1" applyAlignment="1"/>
    <xf numFmtId="0" fontId="8" fillId="14" borderId="4" xfId="0" applyFont="1" applyFill="1" applyBorder="1" applyAlignment="1">
      <alignment horizontal="left" vertical="center"/>
    </xf>
    <xf numFmtId="0" fontId="4" fillId="14" borderId="4" xfId="0" applyFont="1" applyFill="1" applyBorder="1" applyAlignment="1">
      <alignment horizontal="left" vertical="center"/>
    </xf>
    <xf numFmtId="0" fontId="15" fillId="11" borderId="6" xfId="0" applyFont="1" applyFill="1" applyBorder="1" applyAlignment="1" applyProtection="1">
      <alignment horizontal="center" vertical="center"/>
      <protection locked="0"/>
    </xf>
    <xf numFmtId="0" fontId="16" fillId="14" borderId="4" xfId="0" applyFont="1" applyFill="1" applyBorder="1" applyAlignment="1">
      <alignment horizontal="left" vertical="center"/>
    </xf>
    <xf numFmtId="0" fontId="15" fillId="15" borderId="4" xfId="0" applyFont="1" applyFill="1" applyBorder="1" applyAlignment="1">
      <alignment horizontal="center" vertical="center"/>
    </xf>
    <xf numFmtId="0" fontId="18" fillId="4" borderId="4" xfId="0" applyFont="1" applyFill="1" applyBorder="1" applyAlignment="1">
      <alignment horizontal="center" vertical="center"/>
    </xf>
    <xf numFmtId="0" fontId="15" fillId="5" borderId="4" xfId="0" applyFont="1" applyFill="1" applyBorder="1" applyAlignment="1">
      <alignment horizontal="center" vertical="center"/>
    </xf>
    <xf numFmtId="0" fontId="18" fillId="7" borderId="4" xfId="0" applyFont="1" applyFill="1" applyBorder="1" applyAlignment="1">
      <alignment horizontal="center" vertical="center"/>
    </xf>
    <xf numFmtId="164" fontId="8" fillId="13" borderId="5" xfId="0" applyNumberFormat="1" applyFont="1" applyFill="1" applyBorder="1" applyAlignment="1">
      <alignment horizontal="right" vertical="center"/>
    </xf>
    <xf numFmtId="0" fontId="9" fillId="12" borderId="5" xfId="0" applyFont="1" applyFill="1" applyBorder="1" applyAlignment="1">
      <alignment horizontal="left" vertical="center"/>
    </xf>
    <xf numFmtId="165" fontId="8" fillId="13" borderId="5" xfId="0" applyNumberFormat="1" applyFont="1" applyFill="1" applyBorder="1" applyAlignment="1">
      <alignment horizontal="right" vertical="center"/>
    </xf>
    <xf numFmtId="0" fontId="9" fillId="3" borderId="5" xfId="0" applyFont="1" applyFill="1" applyBorder="1" applyAlignment="1">
      <alignment horizontal="left" vertical="center"/>
    </xf>
    <xf numFmtId="0" fontId="8" fillId="3" borderId="5" xfId="0" applyFont="1" applyFill="1" applyBorder="1" applyAlignment="1">
      <alignment horizontal="left" vertical="center" wrapText="1"/>
    </xf>
    <xf numFmtId="166" fontId="8" fillId="13" borderId="5" xfId="0" applyNumberFormat="1" applyFont="1" applyFill="1" applyBorder="1" applyAlignment="1">
      <alignment horizontal="right" vertical="center"/>
    </xf>
    <xf numFmtId="165" fontId="19" fillId="5" borderId="5" xfId="0" applyNumberFormat="1" applyFont="1" applyFill="1" applyBorder="1" applyAlignment="1">
      <alignment horizontal="right" vertical="center"/>
    </xf>
    <xf numFmtId="165" fontId="8" fillId="11" borderId="6" xfId="0" applyNumberFormat="1" applyFont="1" applyFill="1" applyBorder="1" applyAlignment="1" applyProtection="1">
      <alignment horizontal="right" vertical="center"/>
      <protection locked="0"/>
    </xf>
    <xf numFmtId="0" fontId="19" fillId="0" borderId="5" xfId="0" applyFont="1" applyBorder="1" applyAlignment="1">
      <alignment horizontal="left" vertical="center"/>
    </xf>
    <xf numFmtId="165" fontId="19" fillId="13" borderId="5" xfId="0" applyNumberFormat="1" applyFont="1" applyFill="1" applyBorder="1" applyAlignment="1">
      <alignment horizontal="right" vertical="center"/>
    </xf>
    <xf numFmtId="0" fontId="11" fillId="7" borderId="5" xfId="0" applyFont="1" applyFill="1" applyBorder="1" applyAlignment="1">
      <alignment horizontal="center" vertical="center" wrapText="1"/>
    </xf>
    <xf numFmtId="0" fontId="0" fillId="0" borderId="5" xfId="0" applyBorder="1" applyAlignment="1"/>
    <xf numFmtId="0" fontId="20" fillId="7" borderId="5"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22" fillId="13" borderId="5" xfId="0" applyFont="1" applyFill="1" applyBorder="1" applyAlignment="1">
      <alignment horizontal="center" vertical="center" wrapText="1"/>
    </xf>
    <xf numFmtId="0" fontId="19" fillId="5" borderId="5" xfId="0" applyFont="1" applyFill="1" applyBorder="1" applyAlignment="1">
      <alignment horizontal="left" vertical="center" wrapText="1"/>
    </xf>
    <xf numFmtId="0" fontId="11" fillId="7" borderId="4" xfId="0" applyFont="1" applyFill="1" applyBorder="1" applyAlignment="1">
      <alignment horizontal="center" vertical="center" wrapText="1"/>
    </xf>
    <xf numFmtId="0" fontId="0" fillId="4" borderId="3" xfId="0" applyFill="1" applyBorder="1" applyAlignment="1"/>
    <xf numFmtId="0" fontId="8" fillId="14" borderId="4" xfId="0" applyFont="1" applyFill="1" applyBorder="1" applyAlignment="1">
      <alignment horizontal="left" vertical="center" wrapText="1"/>
    </xf>
    <xf numFmtId="165" fontId="0" fillId="11" borderId="6" xfId="0" applyNumberFormat="1" applyFill="1" applyBorder="1" applyAlignment="1" applyProtection="1">
      <alignment horizontal="right" vertical="center"/>
      <protection locked="0"/>
    </xf>
    <xf numFmtId="165" fontId="8" fillId="15" borderId="4" xfId="0" applyNumberFormat="1" applyFont="1" applyFill="1" applyBorder="1" applyAlignment="1">
      <alignment horizontal="right" vertical="center"/>
    </xf>
    <xf numFmtId="0" fontId="0" fillId="14" borderId="0" xfId="0" applyFill="1" applyAlignment="1"/>
    <xf numFmtId="0" fontId="23" fillId="14" borderId="4" xfId="0" applyFont="1" applyFill="1" applyBorder="1" applyAlignment="1">
      <alignment horizontal="left" vertical="center" wrapText="1"/>
    </xf>
    <xf numFmtId="0" fontId="8" fillId="3" borderId="4" xfId="0" applyFont="1" applyFill="1" applyBorder="1" applyAlignment="1">
      <alignment horizontal="left" vertical="center" wrapText="1"/>
    </xf>
    <xf numFmtId="0" fontId="0" fillId="3" borderId="0" xfId="0" applyFill="1" applyAlignment="1"/>
    <xf numFmtId="0" fontId="23" fillId="3" borderId="4" xfId="0" applyFont="1" applyFill="1" applyBorder="1" applyAlignment="1">
      <alignment horizontal="left" vertical="center" wrapText="1"/>
    </xf>
    <xf numFmtId="0" fontId="0" fillId="3" borderId="9" xfId="0" applyFill="1" applyBorder="1" applyAlignment="1"/>
    <xf numFmtId="49" fontId="25" fillId="11" borderId="6" xfId="0" applyNumberFormat="1" applyFont="1" applyFill="1" applyBorder="1" applyAlignment="1" applyProtection="1">
      <alignment horizontal="left" vertical="center"/>
      <protection locked="0"/>
    </xf>
    <xf numFmtId="0" fontId="19" fillId="5" borderId="4" xfId="0" applyFont="1" applyFill="1" applyBorder="1" applyAlignment="1">
      <alignment horizontal="left" vertical="center" wrapText="1"/>
    </xf>
    <xf numFmtId="165" fontId="19" fillId="5" borderId="4" xfId="0" applyNumberFormat="1" applyFont="1" applyFill="1" applyBorder="1" applyAlignment="1">
      <alignment horizontal="right" vertical="center"/>
    </xf>
    <xf numFmtId="0" fontId="26" fillId="5" borderId="4" xfId="0" applyFont="1" applyFill="1" applyBorder="1" applyAlignment="1">
      <alignment horizontal="left" vertical="center" wrapText="1"/>
    </xf>
    <xf numFmtId="165" fontId="26" fillId="5" borderId="10" xfId="0" applyNumberFormat="1" applyFont="1" applyFill="1" applyBorder="1" applyAlignment="1">
      <alignment horizontal="right" vertical="center"/>
    </xf>
    <xf numFmtId="0" fontId="0" fillId="3" borderId="1" xfId="0" applyFill="1" applyBorder="1" applyAlignment="1"/>
    <xf numFmtId="0" fontId="0" fillId="7" borderId="11" xfId="0" applyFill="1" applyBorder="1" applyAlignment="1"/>
    <xf numFmtId="0" fontId="27" fillId="4" borderId="4" xfId="0" applyFont="1" applyFill="1" applyBorder="1" applyAlignment="1">
      <alignment horizontal="left" vertical="center" wrapText="1"/>
    </xf>
    <xf numFmtId="165" fontId="27" fillId="4" borderId="12" xfId="0" applyNumberFormat="1" applyFont="1" applyFill="1" applyBorder="1" applyAlignment="1">
      <alignment horizontal="right" vertical="center"/>
    </xf>
    <xf numFmtId="0" fontId="0" fillId="8" borderId="3" xfId="0" applyFill="1" applyBorder="1" applyAlignment="1"/>
    <xf numFmtId="164" fontId="8" fillId="15" borderId="4" xfId="0" applyNumberFormat="1" applyFont="1" applyFill="1" applyBorder="1" applyAlignment="1">
      <alignment horizontal="right" vertical="center"/>
    </xf>
    <xf numFmtId="0" fontId="16" fillId="3" borderId="4" xfId="0" applyFont="1" applyFill="1" applyBorder="1" applyAlignment="1">
      <alignment horizontal="left" vertical="center" wrapText="1"/>
    </xf>
    <xf numFmtId="0" fontId="16" fillId="14" borderId="4" xfId="0" applyFont="1" applyFill="1" applyBorder="1" applyAlignment="1">
      <alignment horizontal="left" vertical="center" wrapText="1"/>
    </xf>
    <xf numFmtId="0" fontId="20" fillId="4" borderId="5" xfId="0" applyFont="1" applyFill="1" applyBorder="1" applyAlignment="1">
      <alignment horizontal="center" vertical="center" wrapText="1"/>
    </xf>
    <xf numFmtId="0" fontId="11" fillId="9" borderId="5" xfId="0" applyFont="1" applyFill="1" applyBorder="1" applyAlignment="1">
      <alignment horizontal="center" vertical="center" wrapText="1"/>
    </xf>
    <xf numFmtId="165" fontId="8" fillId="13" borderId="14" xfId="0" applyNumberFormat="1" applyFont="1" applyFill="1" applyBorder="1" applyAlignment="1">
      <alignment horizontal="right" vertical="center"/>
    </xf>
    <xf numFmtId="0" fontId="11" fillId="4" borderId="5" xfId="0" applyFont="1" applyFill="1" applyBorder="1" applyAlignment="1"/>
    <xf numFmtId="165" fontId="8" fillId="13" borderId="14" xfId="0" applyNumberFormat="1" applyFont="1" applyFill="1" applyBorder="1" applyAlignment="1" applyProtection="1">
      <alignment horizontal="right" vertical="center"/>
      <protection locked="0"/>
    </xf>
    <xf numFmtId="0" fontId="19" fillId="10" borderId="5" xfId="0" applyFont="1" applyFill="1" applyBorder="1" applyAlignment="1">
      <alignment horizontal="left" vertical="center"/>
    </xf>
    <xf numFmtId="165" fontId="19" fillId="10" borderId="5" xfId="0" applyNumberFormat="1" applyFont="1" applyFill="1" applyBorder="1" applyAlignment="1">
      <alignment horizontal="right" vertical="center"/>
    </xf>
    <xf numFmtId="0" fontId="19" fillId="12" borderId="5" xfId="0" applyFont="1" applyFill="1" applyBorder="1" applyAlignment="1">
      <alignment horizontal="left" vertical="center"/>
    </xf>
    <xf numFmtId="165" fontId="19" fillId="12" borderId="5" xfId="0" applyNumberFormat="1" applyFont="1" applyFill="1" applyBorder="1" applyAlignment="1">
      <alignment horizontal="right" vertical="center"/>
    </xf>
    <xf numFmtId="165" fontId="8" fillId="12" borderId="5" xfId="0" applyNumberFormat="1" applyFont="1" applyFill="1" applyBorder="1" applyAlignment="1">
      <alignment horizontal="right" vertical="center"/>
    </xf>
    <xf numFmtId="164" fontId="8" fillId="11" borderId="6" xfId="0" applyNumberFormat="1" applyFont="1" applyFill="1" applyBorder="1" applyAlignment="1" applyProtection="1">
      <alignment horizontal="right" vertical="center"/>
      <protection locked="0"/>
    </xf>
    <xf numFmtId="1" fontId="8" fillId="11" borderId="6" xfId="0" applyNumberFormat="1" applyFont="1" applyFill="1" applyBorder="1" applyAlignment="1" applyProtection="1">
      <alignment horizontal="right" vertical="center"/>
      <protection locked="0"/>
    </xf>
    <xf numFmtId="165" fontId="8" fillId="3" borderId="5" xfId="0" applyNumberFormat="1" applyFont="1" applyFill="1" applyBorder="1" applyAlignment="1">
      <alignment horizontal="right" vertical="center"/>
    </xf>
    <xf numFmtId="0" fontId="0" fillId="11" borderId="6" xfId="0" applyFill="1" applyBorder="1" applyAlignment="1" applyProtection="1">
      <protection locked="0"/>
    </xf>
    <xf numFmtId="0" fontId="19" fillId="3" borderId="5" xfId="0" applyFont="1" applyFill="1" applyBorder="1" applyAlignment="1">
      <alignment horizontal="left" vertical="center"/>
    </xf>
    <xf numFmtId="0" fontId="19" fillId="12" borderId="5" xfId="0" applyFont="1" applyFill="1" applyBorder="1" applyAlignment="1">
      <alignment horizontal="left" vertical="center" wrapText="1"/>
    </xf>
    <xf numFmtId="0" fontId="19" fillId="3" borderId="5" xfId="0" applyFont="1" applyFill="1" applyBorder="1" applyAlignment="1">
      <alignment horizontal="left" vertical="center" wrapText="1"/>
    </xf>
    <xf numFmtId="49" fontId="8" fillId="11" borderId="6" xfId="0" applyNumberFormat="1" applyFont="1" applyFill="1" applyBorder="1" applyAlignment="1" applyProtection="1">
      <alignment horizontal="right" vertical="center"/>
      <protection locked="0"/>
    </xf>
    <xf numFmtId="167" fontId="8" fillId="13" borderId="5" xfId="0" applyNumberFormat="1" applyFont="1" applyFill="1" applyBorder="1" applyAlignment="1">
      <alignment horizontal="right" vertical="center"/>
    </xf>
    <xf numFmtId="49" fontId="8" fillId="12" borderId="5" xfId="0" applyNumberFormat="1" applyFont="1" applyFill="1" applyBorder="1" applyAlignment="1">
      <alignment horizontal="center" vertical="center" wrapText="1"/>
    </xf>
    <xf numFmtId="49" fontId="8" fillId="3" borderId="5" xfId="0" applyNumberFormat="1" applyFont="1" applyFill="1" applyBorder="1" applyAlignment="1">
      <alignment horizontal="center" vertical="center" wrapText="1"/>
    </xf>
    <xf numFmtId="1" fontId="8" fillId="13" borderId="5" xfId="0" applyNumberFormat="1" applyFont="1" applyFill="1" applyBorder="1" applyAlignment="1">
      <alignment horizontal="right" vertical="center"/>
    </xf>
    <xf numFmtId="165" fontId="19" fillId="5" borderId="0" xfId="0" applyNumberFormat="1" applyFont="1" applyFill="1" applyAlignment="1">
      <alignment horizontal="right" vertical="center"/>
    </xf>
    <xf numFmtId="165" fontId="29" fillId="5" borderId="0" xfId="0" applyNumberFormat="1" applyFont="1" applyFill="1" applyAlignment="1">
      <alignment horizontal="right" vertical="center"/>
    </xf>
    <xf numFmtId="0" fontId="30" fillId="3" borderId="5" xfId="0" applyFont="1" applyFill="1" applyBorder="1" applyAlignment="1">
      <alignment horizontal="left" vertical="center"/>
    </xf>
    <xf numFmtId="49" fontId="8" fillId="3" borderId="5" xfId="0" applyNumberFormat="1" applyFont="1" applyFill="1" applyBorder="1" applyAlignment="1">
      <alignment horizontal="left" vertical="center"/>
    </xf>
    <xf numFmtId="49" fontId="4" fillId="11" borderId="6" xfId="0" applyNumberFormat="1" applyFont="1" applyFill="1" applyBorder="1" applyAlignment="1" applyProtection="1">
      <alignment horizontal="left" vertical="center"/>
      <protection locked="0"/>
    </xf>
    <xf numFmtId="0" fontId="30" fillId="12" borderId="5" xfId="0" applyFont="1" applyFill="1" applyBorder="1" applyAlignment="1">
      <alignment horizontal="left" vertical="center"/>
    </xf>
    <xf numFmtId="49" fontId="8" fillId="12" borderId="5" xfId="0" applyNumberFormat="1" applyFont="1" applyFill="1" applyBorder="1" applyAlignment="1">
      <alignment horizontal="left" vertical="center"/>
    </xf>
    <xf numFmtId="49" fontId="4" fillId="15" borderId="4" xfId="0" applyNumberFormat="1" applyFont="1" applyFill="1" applyBorder="1" applyAlignment="1">
      <alignment horizontal="left" vertical="center"/>
    </xf>
    <xf numFmtId="0" fontId="0" fillId="0" borderId="0" xfId="0" applyFill="1" applyBorder="1" applyAlignment="1"/>
    <xf numFmtId="0" fontId="0" fillId="0" borderId="0" xfId="0" applyFill="1" applyBorder="1"/>
    <xf numFmtId="0" fontId="7" fillId="5" borderId="8" xfId="0" applyFont="1" applyFill="1" applyBorder="1" applyAlignment="1">
      <alignment horizontal="left" vertical="center" indent="1"/>
    </xf>
    <xf numFmtId="0" fontId="8" fillId="6" borderId="8" xfId="0" applyFont="1" applyFill="1" applyBorder="1" applyAlignment="1">
      <alignment horizontal="left" vertical="center" wrapText="1"/>
    </xf>
    <xf numFmtId="0" fontId="2" fillId="0" borderId="0" xfId="0" applyFont="1" applyFill="1" applyBorder="1" applyAlignment="1">
      <alignment horizontal="left" vertical="center" indent="1"/>
    </xf>
    <xf numFmtId="49" fontId="0" fillId="11" borderId="6" xfId="0" applyNumberFormat="1" applyFont="1" applyFill="1" applyBorder="1" applyAlignment="1" applyProtection="1">
      <alignment horizontal="center"/>
      <protection locked="0"/>
    </xf>
    <xf numFmtId="9" fontId="0" fillId="11" borderId="6" xfId="0" applyNumberFormat="1" applyFill="1" applyBorder="1" applyAlignment="1" applyProtection="1">
      <alignment horizontal="center"/>
      <protection locked="0"/>
    </xf>
    <xf numFmtId="0" fontId="6" fillId="4" borderId="5"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6" fillId="9" borderId="5" xfId="0" applyFont="1" applyFill="1" applyBorder="1" applyAlignment="1">
      <alignment horizontal="left" vertical="center"/>
    </xf>
    <xf numFmtId="0" fontId="11" fillId="4" borderId="4"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9" borderId="5" xfId="0" applyFont="1" applyFill="1" applyBorder="1" applyAlignment="1">
      <alignment horizontal="left" vertical="center" wrapText="1"/>
    </xf>
    <xf numFmtId="0" fontId="6" fillId="16" borderId="5" xfId="0" applyFont="1" applyFill="1" applyBorder="1" applyAlignment="1">
      <alignment horizontal="center" vertical="center" wrapText="1"/>
    </xf>
    <xf numFmtId="0" fontId="19" fillId="5" borderId="5" xfId="0" applyFont="1" applyFill="1" applyBorder="1" applyAlignment="1">
      <alignment horizontal="left" vertical="center"/>
    </xf>
    <xf numFmtId="0" fontId="4" fillId="3" borderId="0" xfId="0" applyFont="1" applyFill="1" applyBorder="1" applyAlignment="1">
      <alignment horizontal="left" vertical="center"/>
    </xf>
    <xf numFmtId="0" fontId="14" fillId="10" borderId="4" xfId="0" applyFont="1" applyFill="1" applyBorder="1" applyAlignment="1" applyProtection="1">
      <alignment horizontal="left" vertical="center"/>
      <protection locked="0"/>
    </xf>
    <xf numFmtId="0" fontId="13" fillId="10" borderId="4" xfId="0" applyFont="1" applyFill="1" applyBorder="1" applyAlignment="1">
      <alignment horizontal="left" vertical="center" wrapText="1"/>
    </xf>
    <xf numFmtId="0" fontId="14" fillId="5" borderId="4" xfId="0" applyFont="1" applyFill="1" applyBorder="1" applyAlignment="1" applyProtection="1">
      <alignment horizontal="left" vertical="center"/>
      <protection locked="0"/>
    </xf>
    <xf numFmtId="0" fontId="13" fillId="5" borderId="4" xfId="0" applyFont="1" applyFill="1" applyBorder="1" applyAlignment="1">
      <alignment horizontal="left" vertical="center" wrapText="1"/>
    </xf>
    <xf numFmtId="0" fontId="14" fillId="5" borderId="4" xfId="0" applyFont="1" applyFill="1" applyBorder="1" applyAlignment="1" applyProtection="1">
      <alignment horizontal="left" vertical="center" wrapText="1"/>
      <protection locked="0"/>
    </xf>
    <xf numFmtId="0" fontId="4" fillId="5" borderId="4" xfId="0" applyFont="1" applyFill="1" applyBorder="1" applyAlignment="1">
      <alignment horizontal="left" vertical="center" wrapText="1"/>
    </xf>
    <xf numFmtId="0" fontId="11" fillId="4"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9" borderId="5" xfId="0" applyFont="1" applyFill="1" applyBorder="1" applyAlignment="1">
      <alignment horizontal="left" vertical="center"/>
    </xf>
    <xf numFmtId="0" fontId="11" fillId="4" borderId="4" xfId="0" applyFont="1" applyFill="1" applyBorder="1" applyAlignment="1">
      <alignment horizontal="center" vertical="center" wrapText="1"/>
    </xf>
    <xf numFmtId="0" fontId="12" fillId="10" borderId="4" xfId="0" applyFont="1" applyFill="1" applyBorder="1" applyAlignment="1" applyProtection="1">
      <alignment horizontal="left" vertical="center" wrapText="1"/>
      <protection locked="0"/>
    </xf>
    <xf numFmtId="0" fontId="2" fillId="2" borderId="1" xfId="0" applyFont="1" applyFill="1" applyBorder="1" applyAlignment="1">
      <alignment horizontal="left" vertical="center" indent="1"/>
    </xf>
    <xf numFmtId="0" fontId="4" fillId="3" borderId="2" xfId="0" applyFont="1" applyFill="1" applyBorder="1" applyAlignment="1">
      <alignment horizontal="left" vertical="center"/>
    </xf>
    <xf numFmtId="0" fontId="5" fillId="4" borderId="0" xfId="0" applyFont="1" applyFill="1" applyBorder="1" applyAlignment="1">
      <alignment horizontal="left" vertical="center" indent="1"/>
    </xf>
    <xf numFmtId="0" fontId="3" fillId="2" borderId="1" xfId="0" applyFont="1" applyFill="1" applyBorder="1" applyAlignment="1">
      <alignment horizontal="left" vertical="center" indent="2"/>
    </xf>
    <xf numFmtId="0" fontId="4" fillId="3" borderId="2" xfId="0" applyFont="1" applyFill="1" applyBorder="1" applyAlignment="1">
      <alignment horizontal="left" vertical="center" indent="2"/>
    </xf>
    <xf numFmtId="0" fontId="17" fillId="14" borderId="8" xfId="0" applyFont="1" applyFill="1" applyBorder="1" applyAlignment="1">
      <alignment horizontal="left" vertical="center"/>
    </xf>
    <xf numFmtId="0" fontId="11" fillId="4" borderId="3" xfId="0" applyFont="1" applyFill="1" applyBorder="1" applyAlignment="1">
      <alignment horizontal="center" vertical="center" wrapText="1"/>
    </xf>
    <xf numFmtId="0" fontId="11" fillId="4" borderId="3" xfId="0" applyFont="1" applyFill="1" applyBorder="1" applyAlignment="1">
      <alignment horizontal="left" vertical="center" indent="1"/>
    </xf>
    <xf numFmtId="0" fontId="6" fillId="7" borderId="5" xfId="0" applyFont="1" applyFill="1" applyBorder="1" applyAlignment="1">
      <alignment horizontal="center" vertical="center" wrapText="1"/>
    </xf>
    <xf numFmtId="0" fontId="6" fillId="9" borderId="5" xfId="0" applyFont="1" applyFill="1" applyBorder="1" applyAlignment="1">
      <alignment horizontal="left" vertical="center" wrapText="1"/>
    </xf>
    <xf numFmtId="0" fontId="17" fillId="3" borderId="4" xfId="0" applyFont="1" applyFill="1" applyBorder="1" applyAlignment="1">
      <alignment horizontal="left" vertical="center" wrapText="1"/>
    </xf>
    <xf numFmtId="0" fontId="17" fillId="14" borderId="4" xfId="0" applyFont="1" applyFill="1" applyBorder="1" applyAlignment="1">
      <alignment horizontal="left" vertical="center" wrapText="1"/>
    </xf>
    <xf numFmtId="0" fontId="28" fillId="4" borderId="13" xfId="0" applyFont="1" applyFill="1" applyBorder="1" applyAlignment="1">
      <alignment horizontal="left" vertical="center" wrapText="1"/>
    </xf>
    <xf numFmtId="0" fontId="11" fillId="8" borderId="3" xfId="0" applyFont="1" applyFill="1" applyBorder="1" applyAlignment="1">
      <alignment horizontal="left" vertical="center" indent="1"/>
    </xf>
    <xf numFmtId="0" fontId="4" fillId="14" borderId="8"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11" fillId="7" borderId="3" xfId="0" applyFont="1" applyFill="1" applyBorder="1" applyAlignment="1">
      <alignment horizontal="left" vertical="center" indent="1"/>
    </xf>
    <xf numFmtId="0" fontId="24" fillId="7" borderId="8" xfId="0" applyFont="1" applyFill="1" applyBorder="1" applyAlignment="1">
      <alignment horizontal="left" vertical="center" wrapText="1"/>
    </xf>
    <xf numFmtId="0" fontId="14" fillId="10" borderId="4" xfId="0" applyFont="1" applyFill="1" applyBorder="1" applyAlignment="1" applyProtection="1">
      <alignment horizontal="left" vertical="center" wrapText="1"/>
      <protection locked="0"/>
    </xf>
    <xf numFmtId="0" fontId="6" fillId="4" borderId="15" xfId="0" applyFont="1" applyFill="1" applyBorder="1" applyAlignment="1">
      <alignment horizontal="center" vertical="center" wrapText="1"/>
    </xf>
    <xf numFmtId="0" fontId="14" fillId="10" borderId="4" xfId="0" applyFont="1" applyFill="1" applyBorder="1" applyAlignment="1">
      <alignment horizontal="left" vertical="center" wrapText="1"/>
    </xf>
    <xf numFmtId="0" fontId="6" fillId="16" borderId="5" xfId="0" applyFont="1" applyFill="1" applyBorder="1" applyAlignment="1">
      <alignment horizontal="center" vertical="center" wrapText="1"/>
    </xf>
    <xf numFmtId="0" fontId="4" fillId="10" borderId="4" xfId="0" applyFont="1" applyFill="1" applyBorder="1" applyAlignment="1">
      <alignment horizontal="left" vertical="center" wrapText="1"/>
    </xf>
    <xf numFmtId="0" fontId="19" fillId="5" borderId="5"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BF6EE"/>
      <rgbColor rgb="FFFF00FF"/>
      <rgbColor rgb="FF00FFFF"/>
      <rgbColor rgb="FF800000"/>
      <rgbColor rgb="FF008000"/>
      <rgbColor rgb="FF000080"/>
      <rgbColor rgb="FF808000"/>
      <rgbColor rgb="FF800080"/>
      <rgbColor rgb="FF2C5F4C"/>
      <rgbColor rgb="FFC0B8A8"/>
      <rgbColor rgb="FF888888"/>
      <rgbColor rgb="FFFAF7F2"/>
      <rgbColor rgb="FF5C4F3D"/>
      <rgbColor rgb="FFFEF8E7"/>
      <rgbColor rgb="FFF2F8F4"/>
      <rgbColor rgb="FF660066"/>
      <rgbColor rgb="FFC8B078"/>
      <rgbColor rgb="FF0066CC"/>
      <rgbColor rgb="FFD0D0D0"/>
      <rgbColor rgb="FF000080"/>
      <rgbColor rgb="FFFF00FF"/>
      <rgbColor rgb="FFF8F5F0"/>
      <rgbColor rgb="FF00FFFF"/>
      <rgbColor rgb="FF800080"/>
      <rgbColor rgb="FF800000"/>
      <rgbColor rgb="FF008080"/>
      <rgbColor rgb="FF0000FF"/>
      <rgbColor rgb="FF00CCFF"/>
      <rgbColor rgb="FFF4F9F5"/>
      <rgbColor rgb="FFF9F3E8"/>
      <rgbColor rgb="FFF5EDD6"/>
      <rgbColor rgb="FFE0D8CC"/>
      <rgbColor rgb="FFC8B890"/>
      <rgbColor rgb="FFE8E0D4"/>
      <rgbColor rgb="FFE8D8B0"/>
      <rgbColor rgb="FF3366FF"/>
      <rgbColor rgb="FF33CCCC"/>
      <rgbColor rgb="FFFAFAFA"/>
      <rgbColor rgb="FFEAE0D0"/>
      <rgbColor rgb="FFC8952A"/>
      <rgbColor rgb="FFF37B2D"/>
      <rgbColor rgb="FF555555"/>
      <rgbColor rgb="FF8A7D6B"/>
      <rgbColor rgb="FF2A1F0E"/>
      <rgbColor rgb="FF339966"/>
      <rgbColor rgb="FF1A1A1A"/>
      <rgbColor rgb="FF3A2A0A"/>
      <rgbColor rgb="FF6B2D2D"/>
      <rgbColor rgb="FF5A4A2A"/>
      <rgbColor rgb="FF333399"/>
      <rgbColor rgb="FF4A3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1</xdr:row>
      <xdr:rowOff>26730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5" name="Image 1"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6" name="Image 1"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2</xdr:col>
      <xdr:colOff>53640</xdr:colOff>
      <xdr:row>0</xdr:row>
      <xdr:rowOff>769680</xdr:rowOff>
    </xdr:to>
    <xdr:pic>
      <xdr:nvPicPr>
        <xdr:cNvPr id="7" name="Image 1" descr="Picture">
          <a:extLst>
            <a:ext uri="{FF2B5EF4-FFF2-40B4-BE49-F238E27FC236}">
              <a16:creationId xmlns:a16="http://schemas.microsoft.com/office/drawing/2014/main" id="{00000000-0008-0000-0700-000007000000}"/>
            </a:ext>
          </a:extLst>
        </xdr:cNvPr>
        <xdr:cNvPicPr/>
      </xdr:nvPicPr>
      <xdr:blipFill>
        <a:blip xmlns:r="http://schemas.openxmlformats.org/officeDocument/2006/relationships" r:embed="rId1"/>
        <a:stretch/>
      </xdr:blipFill>
      <xdr:spPr>
        <a:xfrm>
          <a:off x="76320" y="85680"/>
          <a:ext cx="2232720" cy="68400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2</xdr:col>
      <xdr:colOff>53640</xdr:colOff>
      <xdr:row>0</xdr:row>
      <xdr:rowOff>769680</xdr:rowOff>
    </xdr:to>
    <xdr:pic>
      <xdr:nvPicPr>
        <xdr:cNvPr id="8" name="Image 1"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1"/>
        <a:stretch/>
      </xdr:blipFill>
      <xdr:spPr>
        <a:xfrm>
          <a:off x="76320" y="85680"/>
          <a:ext cx="2232720" cy="68400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9" name="Image 1" descr="Picture">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76320</xdr:colOff>
      <xdr:row>0</xdr:row>
      <xdr:rowOff>85680</xdr:rowOff>
    </xdr:from>
    <xdr:to>
      <xdr:col>1</xdr:col>
      <xdr:colOff>1886040</xdr:colOff>
      <xdr:row>0</xdr:row>
      <xdr:rowOff>769680</xdr:rowOff>
    </xdr:to>
    <xdr:pic>
      <xdr:nvPicPr>
        <xdr:cNvPr id="10" name="Image 1" descr="Picture">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a:stretch/>
      </xdr:blipFill>
      <xdr:spPr>
        <a:xfrm>
          <a:off x="76320" y="85680"/>
          <a:ext cx="1950840" cy="68400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76200</xdr:colOff>
      <xdr:row>0</xdr:row>
      <xdr:rowOff>85725</xdr:rowOff>
    </xdr:from>
    <xdr:to>
      <xdr:col>1</xdr:col>
      <xdr:colOff>1933575</xdr:colOff>
      <xdr:row>0</xdr:row>
      <xdr:rowOff>771525</xdr:rowOff>
    </xdr:to>
    <xdr:pic>
      <xdr:nvPicPr>
        <xdr:cNvPr id="11" name="Image 1" descr="Picture">
          <a:extLst>
            <a:ext uri="{FF2B5EF4-FFF2-40B4-BE49-F238E27FC236}">
              <a16:creationId xmlns:a16="http://schemas.microsoft.com/office/drawing/2014/main" id="{00000000-0008-0000-0B00-00000B000000}"/>
            </a:ext>
          </a:extLst>
        </xdr:cNvPr>
        <xdr:cNvPicPr/>
      </xdr:nvPicPr>
      <xdr:blipFill>
        <a:blip xmlns:r="http://schemas.openxmlformats.org/officeDocument/2006/relationships" r:embed="rId1"/>
        <a:stretch/>
      </xdr:blipFill>
      <xdr:spPr>
        <a:xfrm>
          <a:off x="76200" y="85725"/>
          <a:ext cx="1990725" cy="685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zoomScaleNormal="100" workbookViewId="0">
      <selection activeCell="H9" sqref="H9"/>
    </sheetView>
  </sheetViews>
  <sheetFormatPr defaultColWidth="8.7109375" defaultRowHeight="15"/>
  <cols>
    <col min="1" max="1" width="2" style="1" customWidth="1"/>
    <col min="2" max="2" width="100" style="1" customWidth="1"/>
    <col min="3" max="3" width="80" style="105" hidden="1" customWidth="1"/>
    <col min="4" max="5" width="8.7109375" style="106"/>
  </cols>
  <sheetData>
    <row r="1" spans="1:9" ht="58.5" customHeight="1">
      <c r="A1" s="2"/>
      <c r="B1" s="3"/>
      <c r="C1" s="109"/>
      <c r="I1" s="105"/>
    </row>
    <row r="2" spans="1:9" ht="48" customHeight="1">
      <c r="A2" s="135" t="s">
        <v>0</v>
      </c>
      <c r="B2" s="135"/>
      <c r="C2" s="135"/>
      <c r="I2" s="105"/>
    </row>
    <row r="3" spans="1:9" ht="18" customHeight="1">
      <c r="A3" s="136" t="str">
        <f>"FY "&amp;FYYear&amp;"  ·  Baobab Consulting  ·  Confidential"</f>
        <v>FY 2025-26  ·  Baobab Consulting  ·  Confidential</v>
      </c>
      <c r="B3" s="136"/>
      <c r="C3" s="136"/>
      <c r="I3" s="105"/>
    </row>
    <row r="4" spans="1:9" ht="13.5" customHeight="1">
      <c r="A4" s="134" t="s">
        <v>1</v>
      </c>
      <c r="B4" s="134"/>
      <c r="C4" s="134"/>
    </row>
    <row r="5" spans="1:9" ht="24" customHeight="1">
      <c r="B5" s="4" t="s">
        <v>2</v>
      </c>
    </row>
    <row r="6" spans="1:9" ht="18" customHeight="1">
      <c r="B6" s="107" t="s">
        <v>3</v>
      </c>
    </row>
    <row r="7" spans="1:9" ht="69.75" customHeight="1">
      <c r="B7" s="108" t="s">
        <v>4</v>
      </c>
    </row>
    <row r="8" spans="1:9" ht="18" customHeight="1">
      <c r="B8" s="107" t="s">
        <v>5</v>
      </c>
    </row>
    <row r="9" spans="1:9" ht="69.75" customHeight="1">
      <c r="B9" s="108" t="s">
        <v>6</v>
      </c>
    </row>
    <row r="10" spans="1:9" ht="18" customHeight="1">
      <c r="B10" s="107" t="s">
        <v>7</v>
      </c>
    </row>
    <row r="11" spans="1:9" ht="69.75" customHeight="1">
      <c r="B11" s="108" t="s">
        <v>8</v>
      </c>
    </row>
    <row r="13" spans="1:9" ht="24" customHeight="1">
      <c r="B13" s="5" t="s">
        <v>9</v>
      </c>
    </row>
    <row r="14" spans="1:9" ht="18" customHeight="1">
      <c r="B14" s="107" t="s">
        <v>10</v>
      </c>
    </row>
    <row r="15" spans="1:9" ht="55.5" customHeight="1">
      <c r="B15" s="108" t="s">
        <v>11</v>
      </c>
    </row>
    <row r="16" spans="1:9" ht="18" customHeight="1">
      <c r="B16" s="107" t="s">
        <v>12</v>
      </c>
    </row>
    <row r="17" spans="2:2" ht="69.75" customHeight="1">
      <c r="B17" s="108" t="s">
        <v>13</v>
      </c>
    </row>
    <row r="18" spans="2:2" ht="18" customHeight="1">
      <c r="B18" s="107" t="s">
        <v>14</v>
      </c>
    </row>
    <row r="19" spans="2:2" ht="55.5" customHeight="1">
      <c r="B19" s="108" t="s">
        <v>15</v>
      </c>
    </row>
    <row r="21" spans="2:2" ht="24" customHeight="1">
      <c r="B21" s="6" t="s">
        <v>16</v>
      </c>
    </row>
    <row r="22" spans="2:2" ht="18" customHeight="1">
      <c r="B22" s="107" t="s">
        <v>17</v>
      </c>
    </row>
    <row r="23" spans="2:2" ht="69.75" customHeight="1">
      <c r="B23" s="108" t="s">
        <v>18</v>
      </c>
    </row>
    <row r="24" spans="2:2" ht="18" customHeight="1">
      <c r="B24" s="107" t="s">
        <v>19</v>
      </c>
    </row>
    <row r="25" spans="2:2" ht="55.5" customHeight="1">
      <c r="B25" s="108" t="s">
        <v>20</v>
      </c>
    </row>
    <row r="26" spans="2:2" ht="18" customHeight="1">
      <c r="B26" s="107" t="s">
        <v>21</v>
      </c>
    </row>
    <row r="27" spans="2:2" ht="42" customHeight="1">
      <c r="B27" s="108" t="s">
        <v>22</v>
      </c>
    </row>
    <row r="30" spans="2:2" ht="15.75" customHeight="1">
      <c r="B30" s="7" t="str">
        <f>"Prepared by Baobab Consulting  ·  Confidential — "&amp;FamilyName&amp;" Group  ·  FY "&amp;FYYear</f>
        <v>Prepared by Baobab Consulting  ·  Confidential — Le Group  ·  FY 2025-26</v>
      </c>
    </row>
  </sheetData>
  <sheetProtection algorithmName="SHA-512" hashValue="qW3EnBi0x+pnjptyeQLnyDWUSQjadpYB94/POaBBDLl8vnMLssr2g5MCLJ1MSUcCiH3obUxTy8XHhUJ2vPmlqQ==" saltValue="RsyJxps3nr78S0LszNl3ow==" spinCount="100000" sheet="1" objects="1" scenarios="1" formatCells="0"/>
  <mergeCells count="3">
    <mergeCell ref="A2:C2"/>
    <mergeCell ref="A3:C3"/>
    <mergeCell ref="A4:C4"/>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
  <sheetViews>
    <sheetView showGridLines="0" zoomScaleNormal="100" workbookViewId="0">
      <pane xSplit="1" ySplit="3" topLeftCell="B4" activePane="bottomRight" state="frozen"/>
      <selection pane="bottomRight" activeCell="C9" sqref="C9"/>
      <selection pane="bottomLeft" activeCell="A4" sqref="A4"/>
      <selection pane="topRight" activeCell="B1" sqref="B1"/>
    </sheetView>
  </sheetViews>
  <sheetFormatPr defaultColWidth="8.7109375" defaultRowHeight="15"/>
  <cols>
    <col min="1" max="1" width="2" style="1" customWidth="1"/>
    <col min="2" max="2" width="34" style="1" customWidth="1"/>
    <col min="3" max="4" width="22" style="1" customWidth="1"/>
    <col min="5" max="5" width="5" style="1" customWidth="1"/>
    <col min="6" max="6" width="34" style="1" customWidth="1"/>
    <col min="7" max="7" width="22" style="1" customWidth="1"/>
    <col min="8" max="8" width="23.5703125" style="1" customWidth="1"/>
  </cols>
  <sheetData>
    <row r="1" spans="1:15" ht="90" customHeight="1">
      <c r="A1" s="8"/>
      <c r="B1" s="8"/>
      <c r="C1" s="132" t="str">
        <f>FamilyName&amp;" Group — Planning Assumptions"</f>
        <v>Le Group — Planning Assumptions</v>
      </c>
      <c r="D1" s="132"/>
      <c r="E1" s="132"/>
      <c r="F1" s="132"/>
      <c r="G1" s="132"/>
      <c r="H1" s="132"/>
      <c r="I1" s="132"/>
      <c r="J1" s="132"/>
      <c r="K1" s="132"/>
      <c r="L1" s="8"/>
      <c r="M1" s="8"/>
      <c r="N1" s="8"/>
      <c r="O1" s="9"/>
    </row>
    <row r="2" spans="1:15" ht="18" customHeight="1">
      <c r="A2" s="10"/>
      <c r="B2" s="10"/>
      <c r="C2" s="133" t="str">
        <f>"FY "&amp;FYYear&amp;"  ·  Baobab Consulting  ·  Confidential"</f>
        <v>FY 2025-26  ·  Baobab Consulting  ·  Confidential</v>
      </c>
      <c r="D2" s="133"/>
      <c r="E2" s="133"/>
      <c r="F2" s="133"/>
      <c r="G2" s="133"/>
      <c r="H2" s="133"/>
      <c r="I2" s="133"/>
      <c r="J2" s="133"/>
      <c r="K2" s="133"/>
      <c r="L2" s="10"/>
      <c r="M2" s="10"/>
      <c r="N2" s="10"/>
      <c r="O2" s="9"/>
    </row>
    <row r="3" spans="1:15" ht="13.5" customHeight="1">
      <c r="A3" s="11"/>
      <c r="B3" s="134" t="s">
        <v>1</v>
      </c>
      <c r="C3" s="134"/>
      <c r="D3" s="134"/>
      <c r="E3" s="134"/>
      <c r="F3" s="134"/>
      <c r="G3" s="134"/>
      <c r="H3" s="134"/>
      <c r="I3" s="134"/>
      <c r="J3" s="134"/>
      <c r="K3" s="134"/>
      <c r="L3" s="11"/>
      <c r="M3" s="11"/>
      <c r="N3" s="11"/>
      <c r="O3" s="9"/>
    </row>
    <row r="4" spans="1:15" ht="21.75" customHeight="1">
      <c r="B4" s="112" t="s">
        <v>23</v>
      </c>
      <c r="F4" s="114" t="s">
        <v>24</v>
      </c>
    </row>
    <row r="5" spans="1:15" ht="30" customHeight="1">
      <c r="B5" s="116" t="s">
        <v>25</v>
      </c>
      <c r="C5" s="116" t="s">
        <v>26</v>
      </c>
      <c r="D5" s="116" t="s">
        <v>27</v>
      </c>
      <c r="F5" s="116" t="s">
        <v>28</v>
      </c>
      <c r="G5" s="116" t="s">
        <v>29</v>
      </c>
      <c r="H5" s="116" t="s">
        <v>30</v>
      </c>
    </row>
    <row r="6" spans="1:15" ht="18" customHeight="1">
      <c r="B6" s="12" t="s">
        <v>31</v>
      </c>
      <c r="C6" s="13" t="s">
        <v>32</v>
      </c>
      <c r="D6" s="14" t="s">
        <v>33</v>
      </c>
      <c r="F6" s="15" t="s">
        <v>34</v>
      </c>
      <c r="G6" s="16" t="s">
        <v>35</v>
      </c>
      <c r="H6" s="17" t="s">
        <v>36</v>
      </c>
    </row>
    <row r="7" spans="1:15" ht="18" customHeight="1">
      <c r="B7" s="12" t="s">
        <v>37</v>
      </c>
      <c r="C7" s="13" t="s">
        <v>38</v>
      </c>
      <c r="D7" s="14"/>
      <c r="F7" s="18" t="s">
        <v>39</v>
      </c>
      <c r="G7" s="16" t="s">
        <v>40</v>
      </c>
      <c r="H7" s="17" t="s">
        <v>41</v>
      </c>
    </row>
    <row r="8" spans="1:15" ht="18" customHeight="1">
      <c r="B8" s="12" t="s">
        <v>42</v>
      </c>
      <c r="C8" s="13" t="s">
        <v>43</v>
      </c>
      <c r="D8" s="14"/>
      <c r="F8" s="15" t="s">
        <v>44</v>
      </c>
      <c r="G8" s="16" t="s">
        <v>45</v>
      </c>
      <c r="H8" s="17" t="s">
        <v>46</v>
      </c>
    </row>
    <row r="9" spans="1:15" ht="18" customHeight="1">
      <c r="B9" s="12" t="s">
        <v>47</v>
      </c>
      <c r="C9" s="13" t="s">
        <v>48</v>
      </c>
      <c r="D9" s="14"/>
      <c r="F9" s="18" t="s">
        <v>49</v>
      </c>
      <c r="G9" s="16" t="s">
        <v>50</v>
      </c>
      <c r="H9" s="17" t="s">
        <v>51</v>
      </c>
    </row>
    <row r="10" spans="1:15" ht="18" customHeight="1">
      <c r="B10" s="12" t="s">
        <v>52</v>
      </c>
      <c r="C10" s="19">
        <v>2</v>
      </c>
      <c r="D10" s="14" t="s">
        <v>53</v>
      </c>
      <c r="F10" s="15" t="s">
        <v>54</v>
      </c>
      <c r="G10" s="16" t="s">
        <v>55</v>
      </c>
      <c r="H10" s="17" t="s">
        <v>56</v>
      </c>
    </row>
    <row r="11" spans="1:15" ht="18" customHeight="1">
      <c r="B11" s="12" t="s">
        <v>57</v>
      </c>
      <c r="C11" s="13" t="s">
        <v>58</v>
      </c>
      <c r="D11" s="14"/>
      <c r="F11" s="18"/>
      <c r="G11" s="16"/>
      <c r="H11" s="17"/>
    </row>
    <row r="12" spans="1:15" ht="18" customHeight="1">
      <c r="B12" s="20" t="s">
        <v>59</v>
      </c>
      <c r="C12" s="21">
        <v>1</v>
      </c>
      <c r="D12" s="14" t="str">
        <f>"% to "&amp;Person1</f>
        <v>% to Lina</v>
      </c>
      <c r="F12" s="15" t="s">
        <v>60</v>
      </c>
      <c r="G12" s="16" t="s">
        <v>61</v>
      </c>
      <c r="H12" s="17" t="s">
        <v>62</v>
      </c>
    </row>
    <row r="13" spans="1:15" ht="18" customHeight="1">
      <c r="B13" s="20" t="s">
        <v>63</v>
      </c>
      <c r="C13" s="21">
        <v>0</v>
      </c>
      <c r="D13" s="14" t="str">
        <f>"% to "&amp;Person2</f>
        <v>% to TBC</v>
      </c>
      <c r="F13" s="18" t="s">
        <v>64</v>
      </c>
      <c r="G13" s="16" t="s">
        <v>65</v>
      </c>
      <c r="H13" s="17" t="s">
        <v>66</v>
      </c>
    </row>
    <row r="14" spans="1:15" ht="18" customHeight="1">
      <c r="F14" s="15" t="s">
        <v>67</v>
      </c>
      <c r="G14" s="16" t="s">
        <v>36</v>
      </c>
      <c r="H14" s="17" t="s">
        <v>68</v>
      </c>
    </row>
    <row r="15" spans="1:15" ht="21.75" customHeight="1">
      <c r="B15" s="140" t="s">
        <v>69</v>
      </c>
      <c r="C15" s="140"/>
      <c r="D15" s="140"/>
    </row>
    <row r="16" spans="1:15" ht="21.75" customHeight="1">
      <c r="B16" s="116" t="s">
        <v>29</v>
      </c>
      <c r="C16" s="116" t="s">
        <v>26</v>
      </c>
      <c r="D16" s="116" t="s">
        <v>27</v>
      </c>
    </row>
    <row r="17" spans="2:9" ht="18" customHeight="1">
      <c r="B17" s="15" t="s">
        <v>70</v>
      </c>
      <c r="C17" s="13" t="s">
        <v>71</v>
      </c>
      <c r="D17" s="14" t="s">
        <v>72</v>
      </c>
    </row>
    <row r="18" spans="2:9" ht="18" customHeight="1">
      <c r="B18" s="22" t="s">
        <v>73</v>
      </c>
      <c r="C18" s="13" t="s">
        <v>74</v>
      </c>
      <c r="D18" s="14" t="s">
        <v>75</v>
      </c>
    </row>
    <row r="19" spans="2:9" ht="18" customHeight="1">
      <c r="B19" s="22" t="s">
        <v>76</v>
      </c>
      <c r="C19" s="13" t="s">
        <v>77</v>
      </c>
      <c r="D19" s="14" t="s">
        <v>78</v>
      </c>
    </row>
    <row r="20" spans="2:9" ht="18" customHeight="1">
      <c r="B20" s="15" t="s">
        <v>79</v>
      </c>
      <c r="C20" s="13" t="s">
        <v>80</v>
      </c>
      <c r="D20" s="14" t="s">
        <v>81</v>
      </c>
    </row>
    <row r="21" spans="2:9" ht="18" customHeight="1">
      <c r="B21" s="22" t="s">
        <v>82</v>
      </c>
      <c r="C21" s="13" t="s">
        <v>83</v>
      </c>
      <c r="D21" s="14" t="s">
        <v>84</v>
      </c>
    </row>
    <row r="22" spans="2:9" ht="18" customHeight="1">
      <c r="B22" s="22" t="s">
        <v>85</v>
      </c>
      <c r="C22" s="13" t="s">
        <v>86</v>
      </c>
      <c r="D22" s="14" t="s">
        <v>87</v>
      </c>
    </row>
    <row r="23" spans="2:9" ht="18" customHeight="1">
      <c r="B23" s="15" t="s">
        <v>88</v>
      </c>
      <c r="C23" s="13" t="s">
        <v>89</v>
      </c>
      <c r="D23" s="14" t="s">
        <v>90</v>
      </c>
    </row>
    <row r="24" spans="2:9" ht="18" customHeight="1">
      <c r="B24" s="22" t="s">
        <v>91</v>
      </c>
      <c r="C24" s="13" t="s">
        <v>92</v>
      </c>
      <c r="D24" s="14" t="s">
        <v>93</v>
      </c>
    </row>
    <row r="25" spans="2:9" ht="18" customHeight="1">
      <c r="B25" s="15" t="s">
        <v>94</v>
      </c>
      <c r="C25" s="13" t="s">
        <v>95</v>
      </c>
      <c r="D25" s="14" t="s">
        <v>93</v>
      </c>
    </row>
    <row r="28" spans="2:9" ht="18" customHeight="1">
      <c r="B28" s="130" t="s">
        <v>96</v>
      </c>
      <c r="C28" s="130"/>
      <c r="D28" s="130"/>
      <c r="E28" s="130"/>
      <c r="F28" s="130"/>
      <c r="G28" s="130"/>
      <c r="H28" s="130"/>
      <c r="I28" s="130"/>
    </row>
    <row r="29" spans="2:9" ht="36" customHeight="1">
      <c r="B29" s="131" t="s">
        <v>97</v>
      </c>
      <c r="C29" s="131"/>
      <c r="D29" s="122"/>
      <c r="E29" s="122"/>
      <c r="F29" s="122"/>
      <c r="G29" s="122"/>
      <c r="H29" s="122"/>
      <c r="I29" s="122"/>
    </row>
    <row r="30" spans="2:9" ht="18" customHeight="1">
      <c r="B30" s="123" t="s">
        <v>98</v>
      </c>
      <c r="C30" s="123"/>
      <c r="D30" s="124" t="s">
        <v>99</v>
      </c>
      <c r="E30" s="124"/>
      <c r="F30" s="124"/>
      <c r="G30" s="124"/>
      <c r="H30" s="124"/>
      <c r="I30" s="124"/>
    </row>
    <row r="31" spans="2:9" ht="18" customHeight="1">
      <c r="B31" s="121" t="s">
        <v>100</v>
      </c>
      <c r="C31" s="121"/>
      <c r="D31" s="122" t="s">
        <v>101</v>
      </c>
      <c r="E31" s="122"/>
      <c r="F31" s="122"/>
      <c r="G31" s="122"/>
      <c r="H31" s="122"/>
      <c r="I31" s="122"/>
    </row>
    <row r="32" spans="2:9" ht="18" customHeight="1">
      <c r="B32" s="125" t="s">
        <v>102</v>
      </c>
      <c r="C32" s="125"/>
      <c r="D32" s="126" t="str">
        <f>"Must add up to 100%. E.g. 50% "&amp;Person1&amp;" / 50% "&amp;Person2</f>
        <v>Must add up to 100%. E.g. 50% Lina / 50% TBC</v>
      </c>
      <c r="E32" s="126"/>
      <c r="F32" s="126"/>
      <c r="G32" s="126"/>
      <c r="H32" s="126"/>
      <c r="I32" s="126"/>
    </row>
    <row r="33" spans="2:9" ht="18" customHeight="1">
      <c r="B33" s="121" t="s">
        <v>103</v>
      </c>
      <c r="C33" s="121"/>
      <c r="D33" s="122" t="s">
        <v>104</v>
      </c>
      <c r="E33" s="122"/>
      <c r="F33" s="122"/>
      <c r="G33" s="122"/>
      <c r="H33" s="122"/>
      <c r="I33" s="122"/>
    </row>
    <row r="34" spans="2:9" ht="18" customHeight="1">
      <c r="B34" s="123" t="s">
        <v>105</v>
      </c>
      <c r="C34" s="123"/>
      <c r="D34" s="124" t="s">
        <v>106</v>
      </c>
      <c r="E34" s="124"/>
      <c r="F34" s="124"/>
      <c r="G34" s="124"/>
      <c r="H34" s="124"/>
      <c r="I34" s="124"/>
    </row>
    <row r="35" spans="2:9" ht="18" customHeight="1">
      <c r="B35" s="121" t="s">
        <v>107</v>
      </c>
      <c r="C35" s="121"/>
      <c r="D35" s="122" t="s">
        <v>108</v>
      </c>
      <c r="E35" s="122"/>
      <c r="F35" s="122"/>
      <c r="G35" s="122"/>
      <c r="H35" s="122"/>
      <c r="I35" s="122"/>
    </row>
    <row r="37" spans="2:9" ht="1.5" customHeight="1">
      <c r="B37" s="23"/>
      <c r="C37" s="23"/>
      <c r="D37" s="23"/>
      <c r="E37" s="23"/>
      <c r="F37" s="23"/>
      <c r="G37" s="23"/>
      <c r="H37" s="23"/>
    </row>
    <row r="38" spans="2:9" ht="18" customHeight="1">
      <c r="B38" s="120" t="str">
        <f>"Prepared by Baobab Consulting  ·  Commercial in Confidence — "&amp;FamilyName&amp;" Group  ·  FY "&amp;FYYear</f>
        <v>Prepared by Baobab Consulting  ·  Commercial in Confidence — Le Group  ·  FY 2025-26</v>
      </c>
      <c r="C38" s="120"/>
      <c r="D38" s="120"/>
      <c r="E38" s="120"/>
      <c r="F38" s="120"/>
      <c r="G38" s="120"/>
      <c r="H38" s="120"/>
    </row>
    <row r="40" spans="2:9" ht="21.75" customHeight="1">
      <c r="B40" s="138" t="s">
        <v>109</v>
      </c>
      <c r="C40" s="138"/>
      <c r="D40" s="138"/>
    </row>
    <row r="41" spans="2:9" ht="21.75" customHeight="1">
      <c r="B41" s="24" t="s">
        <v>25</v>
      </c>
      <c r="C41" s="24" t="s">
        <v>26</v>
      </c>
      <c r="D41" s="24" t="s">
        <v>27</v>
      </c>
    </row>
    <row r="42" spans="2:9" ht="18" customHeight="1">
      <c r="B42" s="25" t="s">
        <v>110</v>
      </c>
      <c r="C42" s="110" t="s">
        <v>111</v>
      </c>
      <c r="D42" s="26" t="s">
        <v>112</v>
      </c>
    </row>
    <row r="43" spans="2:9" ht="18" customHeight="1">
      <c r="B43" s="25" t="s">
        <v>113</v>
      </c>
      <c r="C43" s="111">
        <v>1</v>
      </c>
      <c r="D43" s="26" t="s">
        <v>114</v>
      </c>
    </row>
    <row r="44" spans="2:9" ht="18" customHeight="1">
      <c r="B44" s="27" t="s">
        <v>115</v>
      </c>
      <c r="C44" s="111">
        <v>0.3</v>
      </c>
      <c r="D44" s="28" t="s">
        <v>116</v>
      </c>
    </row>
    <row r="45" spans="2:9" ht="9.75" customHeight="1">
      <c r="B45" s="23"/>
      <c r="C45" s="23"/>
      <c r="D45" s="23"/>
      <c r="E45" s="23"/>
      <c r="F45" s="23"/>
      <c r="G45" s="23"/>
      <c r="H45" s="23"/>
    </row>
    <row r="46" spans="2:9" ht="19.5" customHeight="1">
      <c r="B46" s="139" t="s">
        <v>117</v>
      </c>
      <c r="C46" s="139"/>
      <c r="D46" s="139"/>
      <c r="E46" s="139"/>
      <c r="F46" s="139"/>
      <c r="G46" s="139"/>
      <c r="H46" s="139"/>
    </row>
    <row r="47" spans="2:9" ht="18" customHeight="1">
      <c r="B47" s="29" t="s">
        <v>118</v>
      </c>
      <c r="C47" s="30" t="s">
        <v>119</v>
      </c>
      <c r="D47" s="137" t="s">
        <v>120</v>
      </c>
      <c r="E47" s="137"/>
      <c r="F47" s="137"/>
      <c r="G47" s="137"/>
      <c r="H47" s="137"/>
    </row>
    <row r="48" spans="2:9" ht="18" customHeight="1">
      <c r="B48" s="31" t="s">
        <v>118</v>
      </c>
      <c r="C48" s="30" t="s">
        <v>121</v>
      </c>
      <c r="D48" s="137" t="s">
        <v>122</v>
      </c>
      <c r="E48" s="137"/>
      <c r="F48" s="137"/>
      <c r="G48" s="137"/>
      <c r="H48" s="137"/>
    </row>
    <row r="49" spans="2:8" ht="18" customHeight="1">
      <c r="B49" s="32" t="s">
        <v>118</v>
      </c>
      <c r="C49" s="30" t="s">
        <v>123</v>
      </c>
      <c r="D49" s="137" t="s">
        <v>124</v>
      </c>
      <c r="E49" s="137"/>
      <c r="F49" s="137"/>
      <c r="G49" s="137"/>
      <c r="H49" s="137"/>
    </row>
    <row r="50" spans="2:8" ht="18" customHeight="1">
      <c r="B50" s="33" t="s">
        <v>118</v>
      </c>
      <c r="C50" s="30" t="s">
        <v>125</v>
      </c>
      <c r="D50" s="137" t="s">
        <v>126</v>
      </c>
      <c r="E50" s="137"/>
      <c r="F50" s="137"/>
      <c r="G50" s="137"/>
      <c r="H50" s="137"/>
    </row>
    <row r="51" spans="2:8" ht="18" customHeight="1">
      <c r="B51" s="34" t="s">
        <v>118</v>
      </c>
      <c r="C51" s="30" t="s">
        <v>127</v>
      </c>
      <c r="D51" s="137" t="s">
        <v>128</v>
      </c>
      <c r="E51" s="137"/>
      <c r="F51" s="137"/>
      <c r="G51" s="137"/>
      <c r="H51" s="137"/>
    </row>
  </sheetData>
  <sheetProtection algorithmName="SHA-512" hashValue="zP/1Rf89wuy6Rz7TQsEaBCc7usM9YsehdzcC1XCkTZpFlQ1+4b8MA5chvEx1QEldWP82jdT13NXQmWJ86yZbzA==" saltValue="G5t+91KyCO/EBIUXeLq9sg==" spinCount="100000" sheet="1" objects="1" scenarios="1" formatCells="0" formatColumns="0" formatRows="0" insertColumns="0" insertRows="0" deleteColumns="0" deleteRows="0" sort="0" autoFilter="0"/>
  <mergeCells count="27">
    <mergeCell ref="C1:K1"/>
    <mergeCell ref="C2:K2"/>
    <mergeCell ref="B3:K3"/>
    <mergeCell ref="B15:D15"/>
    <mergeCell ref="B28:I28"/>
    <mergeCell ref="B29:C29"/>
    <mergeCell ref="D29:I29"/>
    <mergeCell ref="B30:C30"/>
    <mergeCell ref="D30:I30"/>
    <mergeCell ref="B31:C31"/>
    <mergeCell ref="D31:I31"/>
    <mergeCell ref="B32:C32"/>
    <mergeCell ref="D32:I32"/>
    <mergeCell ref="B33:C33"/>
    <mergeCell ref="D33:I33"/>
    <mergeCell ref="B34:C34"/>
    <mergeCell ref="D34:I34"/>
    <mergeCell ref="B35:C35"/>
    <mergeCell ref="D35:I35"/>
    <mergeCell ref="B38:H38"/>
    <mergeCell ref="B40:D40"/>
    <mergeCell ref="B46:H46"/>
    <mergeCell ref="D47:H47"/>
    <mergeCell ref="D48:H48"/>
    <mergeCell ref="D49:H49"/>
    <mergeCell ref="D50:H50"/>
    <mergeCell ref="D51:H51"/>
  </mergeCells>
  <dataValidations count="4">
    <dataValidation type="whole" showInputMessage="1" promptTitle="Number of Dependants" prompt="Enter a whole number (0–10)" sqref="C10" xr:uid="{00000000-0002-0000-0100-000000000000}">
      <formula1>0</formula1>
      <formula2>10</formula2>
    </dataValidation>
    <dataValidation type="decimal" showInputMessage="1" promptTitle="Trust Distribution" prompt="Enter as decimal e.g. 0.5 = 50%" sqref="C12:C13" xr:uid="{00000000-0002-0000-0100-000001000000}">
      <formula1>0</formula1>
      <formula2>1</formula2>
    </dataValidation>
    <dataValidation type="list" showInputMessage="1" showErrorMessage="1" promptTitle="Cashflow Link" prompt="Choose YES or NO" sqref="C42" xr:uid="{00000000-0002-0000-0100-000002000000}">
      <formula1>"YES,NO"</formula1>
      <formula2>0</formula2>
    </dataValidation>
    <dataValidation type="decimal" showInputMessage="1" showErrorMessage="1" promptTitle="Corporate Tax Rate" prompt="Enter 0.30 for 30% (standard) or 0.25 for 25% (small business BRE)" sqref="C44" xr:uid="{00000000-0002-0000-0100-000003000000}">
      <formula1>0.1</formula1>
      <formula2>0.35</formula2>
    </dataValidation>
  </dataValidation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8"/>
  <sheetViews>
    <sheetView showGridLines="0" tabSelected="1" zoomScaleNormal="100" workbookViewId="0">
      <pane xSplit="1" ySplit="3" topLeftCell="B4" activePane="bottomRight" state="frozen"/>
      <selection pane="bottomRight" activeCell="C6" sqref="C6"/>
      <selection pane="bottomLeft" activeCell="A4" sqref="A4"/>
      <selection pane="topRight" activeCell="B1" sqref="B1"/>
    </sheetView>
  </sheetViews>
  <sheetFormatPr defaultColWidth="8.7109375" defaultRowHeight="15"/>
  <cols>
    <col min="1" max="1" width="2" style="1" customWidth="1"/>
    <col min="2" max="2" width="30" style="1" customWidth="1"/>
    <col min="3" max="5" width="15" style="1" customWidth="1"/>
    <col min="6" max="6" width="3" style="1" customWidth="1"/>
    <col min="7" max="7" width="30" style="1" customWidth="1"/>
    <col min="8" max="8" width="16" style="1" customWidth="1"/>
    <col min="9" max="9" width="19.140625" style="1" customWidth="1"/>
    <col min="10" max="10" width="16" style="1" customWidth="1"/>
  </cols>
  <sheetData>
    <row r="1" spans="1:17" ht="90" customHeight="1">
      <c r="A1" s="8"/>
      <c r="B1" s="8"/>
      <c r="C1" s="132" t="str">
        <f>FamilyName&amp;" Group — Household Planning Dashboard"</f>
        <v>Le Group — Household Planning Dashboard</v>
      </c>
      <c r="D1" s="132"/>
      <c r="E1" s="132"/>
      <c r="F1" s="132"/>
      <c r="G1" s="132"/>
      <c r="H1" s="132"/>
      <c r="I1" s="132"/>
      <c r="J1" s="132"/>
      <c r="K1" s="132"/>
      <c r="L1" s="132"/>
      <c r="M1" s="132"/>
      <c r="N1" s="8"/>
      <c r="O1" s="8"/>
      <c r="P1" s="8"/>
      <c r="Q1" s="9"/>
    </row>
    <row r="2" spans="1:17" ht="18" customHeight="1">
      <c r="A2" s="10"/>
      <c r="B2" s="10"/>
      <c r="C2" s="133" t="str">
        <f>"FY "&amp;FYYear&amp;"  ·  Baobab Consulting  ·  Confidential"</f>
        <v>FY 2025-26  ·  Baobab Consulting  ·  Confidential</v>
      </c>
      <c r="D2" s="133"/>
      <c r="E2" s="133"/>
      <c r="F2" s="133"/>
      <c r="G2" s="133"/>
      <c r="H2" s="133"/>
      <c r="I2" s="133"/>
      <c r="J2" s="133"/>
      <c r="K2" s="133"/>
      <c r="L2" s="133"/>
      <c r="M2" s="133"/>
      <c r="N2" s="10"/>
      <c r="O2" s="10"/>
      <c r="P2" s="10"/>
      <c r="Q2" s="9"/>
    </row>
    <row r="3" spans="1:17" ht="13.5" customHeight="1">
      <c r="A3" s="11"/>
      <c r="B3" s="134" t="s">
        <v>1</v>
      </c>
      <c r="C3" s="134"/>
      <c r="D3" s="134"/>
      <c r="E3" s="134"/>
      <c r="F3" s="134"/>
      <c r="G3" s="134"/>
      <c r="H3" s="134"/>
      <c r="I3" s="134"/>
      <c r="J3" s="134"/>
      <c r="K3" s="134"/>
      <c r="L3" s="134"/>
      <c r="M3" s="134"/>
      <c r="N3" s="11"/>
      <c r="O3" s="11"/>
      <c r="P3" s="11"/>
      <c r="Q3" s="9"/>
    </row>
    <row r="4" spans="1:17" ht="30" customHeight="1">
      <c r="B4" s="116" t="s">
        <v>129</v>
      </c>
      <c r="C4" s="116" t="s">
        <v>130</v>
      </c>
      <c r="D4" s="116" t="s">
        <v>131</v>
      </c>
      <c r="E4" s="116" t="s">
        <v>132</v>
      </c>
      <c r="G4" s="118" t="s">
        <v>133</v>
      </c>
    </row>
    <row r="5" spans="1:17" ht="21.75" customHeight="1">
      <c r="B5" s="128" t="s">
        <v>134</v>
      </c>
      <c r="C5" s="128"/>
      <c r="D5" s="128"/>
      <c r="E5" s="128"/>
      <c r="G5" s="15" t="s">
        <v>135</v>
      </c>
      <c r="H5" s="35">
        <f>IF(E11&gt;0,(E11-E22)/E11,0)</f>
        <v>0</v>
      </c>
      <c r="I5" s="36" t="s">
        <v>136</v>
      </c>
    </row>
    <row r="6" spans="1:17" ht="18" customHeight="1">
      <c r="B6" s="15" t="s">
        <v>137</v>
      </c>
      <c r="C6" s="37">
        <f>'💰 Income Planning'!F22*12/52</f>
        <v>0</v>
      </c>
      <c r="D6" s="37">
        <f>'💰 Income Planning'!F22</f>
        <v>0</v>
      </c>
      <c r="E6" s="37">
        <f>'💰 Income Planning'!F22*12</f>
        <v>0</v>
      </c>
      <c r="G6" s="18" t="s">
        <v>138</v>
      </c>
      <c r="H6" s="35">
        <f>IF(E11&gt;0,('🏦 Debt Schedule'!H16+'🏦 Debt Schedule'!H24)*12/E11,0)</f>
        <v>0</v>
      </c>
      <c r="I6" s="38" t="s">
        <v>139</v>
      </c>
    </row>
    <row r="7" spans="1:17" ht="18" customHeight="1">
      <c r="B7" s="39" t="s">
        <v>140</v>
      </c>
      <c r="C7" s="37">
        <f>'💰 Income Planning'!F10*12/52</f>
        <v>0</v>
      </c>
      <c r="D7" s="37">
        <f>'💰 Income Planning'!F10</f>
        <v>0</v>
      </c>
      <c r="E7" s="37">
        <f>'💰 Income Planning'!F10*12</f>
        <v>0</v>
      </c>
      <c r="G7" s="15" t="s">
        <v>141</v>
      </c>
      <c r="H7" s="35">
        <f>IF('📈 A+L'!E5&gt;0,'📈 A+L'!F5/'📈 A+L'!E5,0)</f>
        <v>0</v>
      </c>
      <c r="I7" s="36" t="s">
        <v>142</v>
      </c>
    </row>
    <row r="8" spans="1:17" ht="18" customHeight="1">
      <c r="B8" s="15" t="s">
        <v>143</v>
      </c>
      <c r="C8" s="37">
        <f>'💰 Income Planning'!F16*12/52</f>
        <v>0</v>
      </c>
      <c r="D8" s="37">
        <f>'💰 Income Planning'!F16</f>
        <v>0</v>
      </c>
      <c r="E8" s="37">
        <f>'💰 Income Planning'!F16*12</f>
        <v>0</v>
      </c>
      <c r="G8" s="18" t="s">
        <v>144</v>
      </c>
      <c r="H8" s="40">
        <f>'🎯 Goals &amp; Super'!F6</f>
        <v>0</v>
      </c>
      <c r="I8" s="38" t="s">
        <v>145</v>
      </c>
    </row>
    <row r="9" spans="1:17" ht="18" customHeight="1">
      <c r="B9" s="18" t="s">
        <v>146</v>
      </c>
      <c r="C9" s="37">
        <f>'💰 Income Planning'!F28*12/52</f>
        <v>0</v>
      </c>
      <c r="D9" s="37">
        <f>'💰 Income Planning'!F28</f>
        <v>0</v>
      </c>
      <c r="E9" s="37">
        <f>'💰 Income Planning'!F28*12</f>
        <v>0</v>
      </c>
      <c r="G9" s="15" t="s">
        <v>147</v>
      </c>
      <c r="H9" s="37">
        <f>'📈 A+L'!G5</f>
        <v>0</v>
      </c>
      <c r="I9" s="36" t="s">
        <v>148</v>
      </c>
    </row>
    <row r="10" spans="1:17" ht="18" customHeight="1">
      <c r="B10" s="15" t="s">
        <v>149</v>
      </c>
      <c r="C10" s="37">
        <f>'🏘 Rental Properties'!O11/52</f>
        <v>0</v>
      </c>
      <c r="D10" s="37">
        <f>'🏘 Rental Properties'!O11/12</f>
        <v>0</v>
      </c>
      <c r="E10" s="37">
        <f>'🏘 Rental Properties'!O11</f>
        <v>0</v>
      </c>
      <c r="G10" s="18" t="str">
        <f>"Super Balance — "&amp;Person1</f>
        <v>Super Balance — Lina</v>
      </c>
      <c r="H10" s="37">
        <f>'🎯 Goals &amp; Super'!C23</f>
        <v>0</v>
      </c>
      <c r="I10" s="38" t="s">
        <v>150</v>
      </c>
    </row>
    <row r="11" spans="1:17" ht="18" customHeight="1">
      <c r="B11" s="119" t="s">
        <v>151</v>
      </c>
      <c r="C11" s="41">
        <f>SUM(C6:C10)</f>
        <v>0</v>
      </c>
      <c r="D11" s="41">
        <f>C11*52/12</f>
        <v>0</v>
      </c>
      <c r="E11" s="41">
        <f>C11*52</f>
        <v>0</v>
      </c>
      <c r="G11" s="15" t="str">
        <f>"Super Balance — "&amp;Person2</f>
        <v>Super Balance — TBC</v>
      </c>
      <c r="H11" s="37">
        <f>'🎯 Goals &amp; Super'!D23</f>
        <v>0</v>
      </c>
      <c r="I11" s="36" t="s">
        <v>150</v>
      </c>
    </row>
    <row r="12" spans="1:17" ht="18" customHeight="1">
      <c r="G12" s="18" t="str">
        <f>"Estimated Tax — "&amp;Person1</f>
        <v>Estimated Tax — Lina</v>
      </c>
      <c r="H12" s="37">
        <f>'🧮 Tax Estimator'!C31</f>
        <v>0</v>
      </c>
      <c r="I12" s="38" t="str">
        <f>"FY"&amp;FYYear&amp;" estimate"</f>
        <v>FY2025-26 estimate</v>
      </c>
    </row>
    <row r="13" spans="1:17" ht="21.75" customHeight="1">
      <c r="B13" s="128" t="s">
        <v>152</v>
      </c>
      <c r="C13" s="128"/>
      <c r="D13" s="128"/>
      <c r="E13" s="128"/>
      <c r="G13" s="15" t="str">
        <f>"Estimated Tax — "&amp;Person2</f>
        <v>Estimated Tax — TBC</v>
      </c>
      <c r="H13" s="37">
        <f>'🧮 Tax Estimator'!D31</f>
        <v>0</v>
      </c>
      <c r="I13" s="36" t="str">
        <f>"FY"&amp;FYYear&amp;" estimate"</f>
        <v>FY2025-26 estimate</v>
      </c>
    </row>
    <row r="14" spans="1:17" ht="18" customHeight="1">
      <c r="B14" s="15" t="s">
        <v>153</v>
      </c>
      <c r="C14" s="37">
        <f>'🏠 Household Expenditure'!G109/52</f>
        <v>0</v>
      </c>
      <c r="D14" s="37">
        <f>'🏠 Household Expenditure'!G109/12</f>
        <v>0</v>
      </c>
      <c r="E14" s="37">
        <f>'🏠 Household Expenditure'!G109</f>
        <v>0</v>
      </c>
      <c r="G14" s="18" t="s">
        <v>154</v>
      </c>
      <c r="H14" s="37">
        <f>'🧮 Tax Estimator'!C31+'🧮 Tax Estimator'!D31</f>
        <v>0</v>
      </c>
      <c r="I14" s="38" t="s">
        <v>155</v>
      </c>
    </row>
    <row r="15" spans="1:17" ht="18" customHeight="1">
      <c r="B15" s="39" t="s">
        <v>156</v>
      </c>
      <c r="C15" s="37">
        <f>'🏠 Household Expenditure'!N34/52</f>
        <v>0</v>
      </c>
      <c r="D15" s="37">
        <f>'🏠 Household Expenditure'!N34/12</f>
        <v>0</v>
      </c>
      <c r="E15" s="37">
        <f>'🏠 Household Expenditure'!N34</f>
        <v>0</v>
      </c>
    </row>
    <row r="16" spans="1:17" ht="18" customHeight="1">
      <c r="B16" s="22" t="s">
        <v>157</v>
      </c>
      <c r="C16" s="37">
        <f>'🏘 Rental Properties'!O10/52</f>
        <v>0</v>
      </c>
      <c r="D16" s="37">
        <f>'🏘 Rental Properties'!O10/12</f>
        <v>0</v>
      </c>
      <c r="E16" s="37">
        <f>'🏘 Rental Properties'!O10</f>
        <v>0</v>
      </c>
    </row>
    <row r="17" spans="2:9" ht="18" customHeight="1">
      <c r="B17" s="39" t="s">
        <v>158</v>
      </c>
      <c r="C17" s="37">
        <f>('🏦 Debt Schedule'!H16*12)/52</f>
        <v>0</v>
      </c>
      <c r="D17" s="37">
        <f>'🏦 Debt Schedule'!H16</f>
        <v>0</v>
      </c>
      <c r="E17" s="37">
        <f>'🏦 Debt Schedule'!H16*12</f>
        <v>0</v>
      </c>
    </row>
    <row r="18" spans="2:9" ht="18" customHeight="1">
      <c r="B18" s="15" t="s">
        <v>159</v>
      </c>
      <c r="C18" s="37">
        <f>('🏦 Debt Schedule'!H24*12)/52</f>
        <v>0</v>
      </c>
      <c r="D18" s="37">
        <f>'🏦 Debt Schedule'!H24</f>
        <v>0</v>
      </c>
      <c r="E18" s="37">
        <f>'🏦 Debt Schedule'!H24*12</f>
        <v>0</v>
      </c>
    </row>
    <row r="19" spans="2:9" ht="18" customHeight="1">
      <c r="B19" s="18" t="s">
        <v>160</v>
      </c>
      <c r="C19" s="42">
        <v>0</v>
      </c>
      <c r="D19" s="42">
        <v>0</v>
      </c>
      <c r="E19" s="42">
        <v>0</v>
      </c>
    </row>
    <row r="20" spans="2:9" ht="18" customHeight="1">
      <c r="B20" s="22" t="s">
        <v>161</v>
      </c>
      <c r="C20" s="37">
        <f>('📋 Summary'!E24)/52</f>
        <v>0</v>
      </c>
      <c r="D20" s="37">
        <f>('📋 Summary'!E24)/12</f>
        <v>0</v>
      </c>
      <c r="E20" s="37">
        <f>'📋 Summary'!E24</f>
        <v>0</v>
      </c>
    </row>
    <row r="21" spans="2:9" ht="18" customHeight="1">
      <c r="B21" s="39" t="s">
        <v>162</v>
      </c>
      <c r="C21" s="37">
        <f>('📋 Summary'!E25)/52</f>
        <v>0</v>
      </c>
      <c r="D21" s="37">
        <f>('📋 Summary'!E25)/12</f>
        <v>0</v>
      </c>
      <c r="E21" s="37">
        <f>'📋 Summary'!E25</f>
        <v>0</v>
      </c>
    </row>
    <row r="22" spans="2:9" ht="18" customHeight="1">
      <c r="B22" s="119" t="s">
        <v>163</v>
      </c>
      <c r="C22" s="41">
        <f>SUM(C14:C21)</f>
        <v>0</v>
      </c>
      <c r="D22" s="41">
        <f>C22*52/12</f>
        <v>0</v>
      </c>
      <c r="E22" s="41">
        <f>C22*52</f>
        <v>0</v>
      </c>
    </row>
    <row r="24" spans="2:9" ht="21.75" customHeight="1">
      <c r="B24" s="141" t="s">
        <v>164</v>
      </c>
      <c r="C24" s="141"/>
      <c r="D24" s="141"/>
      <c r="E24" s="141"/>
    </row>
    <row r="25" spans="2:9" ht="18" customHeight="1">
      <c r="B25" s="43" t="s">
        <v>165</v>
      </c>
      <c r="C25" s="44">
        <f>C11-C22</f>
        <v>0</v>
      </c>
      <c r="D25" s="44">
        <f>C25*52/12</f>
        <v>0</v>
      </c>
      <c r="E25" s="44">
        <f>C25*52</f>
        <v>0</v>
      </c>
    </row>
    <row r="28" spans="2:9" ht="18" customHeight="1">
      <c r="B28" s="130" t="s">
        <v>166</v>
      </c>
      <c r="C28" s="130"/>
      <c r="D28" s="130"/>
      <c r="E28" s="130"/>
      <c r="F28" s="130"/>
      <c r="G28" s="130"/>
      <c r="H28" s="130"/>
      <c r="I28" s="130"/>
    </row>
    <row r="29" spans="2:9" ht="36" customHeight="1">
      <c r="B29" s="131" t="s">
        <v>167</v>
      </c>
      <c r="C29" s="131"/>
      <c r="D29" s="122"/>
      <c r="E29" s="122"/>
      <c r="F29" s="122"/>
      <c r="G29" s="122"/>
      <c r="H29" s="122"/>
      <c r="I29" s="122"/>
    </row>
    <row r="30" spans="2:9" ht="18" customHeight="1">
      <c r="B30" s="123" t="s">
        <v>168</v>
      </c>
      <c r="C30" s="123"/>
      <c r="D30" s="126" t="str">
        <f>"Get a 30-second view of the "&amp;FamilyName&amp;" family’s cashflow health each meeting"</f>
        <v>Get a 30-second view of the Le family’s cashflow health each meeting</v>
      </c>
      <c r="E30" s="126"/>
      <c r="F30" s="126"/>
      <c r="G30" s="126"/>
      <c r="H30" s="126"/>
      <c r="I30" s="126"/>
    </row>
    <row r="31" spans="2:9" ht="18" customHeight="1">
      <c r="B31" s="121" t="s">
        <v>169</v>
      </c>
      <c r="C31" s="121"/>
      <c r="D31" s="122" t="s">
        <v>170</v>
      </c>
      <c r="E31" s="122"/>
      <c r="F31" s="122"/>
      <c r="G31" s="122"/>
      <c r="H31" s="122"/>
      <c r="I31" s="122"/>
    </row>
    <row r="32" spans="2:9" ht="18" customHeight="1">
      <c r="B32" s="125" t="s">
        <v>171</v>
      </c>
      <c r="C32" s="125"/>
      <c r="D32" s="124" t="s">
        <v>172</v>
      </c>
      <c r="E32" s="124"/>
      <c r="F32" s="124"/>
      <c r="G32" s="124"/>
      <c r="H32" s="124"/>
      <c r="I32" s="124"/>
    </row>
    <row r="33" spans="2:10" ht="18" customHeight="1">
      <c r="B33" s="121" t="s">
        <v>173</v>
      </c>
      <c r="C33" s="121"/>
      <c r="D33" s="122" t="s">
        <v>174</v>
      </c>
      <c r="E33" s="122"/>
      <c r="F33" s="122"/>
      <c r="G33" s="122"/>
      <c r="H33" s="122"/>
      <c r="I33" s="122"/>
    </row>
    <row r="34" spans="2:10" ht="18" customHeight="1">
      <c r="B34" s="123" t="s">
        <v>175</v>
      </c>
      <c r="C34" s="123"/>
      <c r="D34" s="124" t="s">
        <v>176</v>
      </c>
      <c r="E34" s="124"/>
      <c r="F34" s="124"/>
      <c r="G34" s="124"/>
      <c r="H34" s="124"/>
      <c r="I34" s="124"/>
    </row>
    <row r="35" spans="2:10" ht="18" customHeight="1">
      <c r="B35" s="121" t="s">
        <v>107</v>
      </c>
      <c r="C35" s="121"/>
      <c r="D35" s="122" t="s">
        <v>177</v>
      </c>
      <c r="E35" s="122"/>
      <c r="F35" s="122"/>
      <c r="G35" s="122"/>
      <c r="H35" s="122"/>
      <c r="I35" s="122"/>
    </row>
    <row r="37" spans="2:10" ht="1.5" customHeight="1">
      <c r="B37" s="23"/>
      <c r="C37" s="23"/>
      <c r="D37" s="23"/>
      <c r="E37" s="23"/>
      <c r="F37" s="23"/>
      <c r="G37" s="23"/>
      <c r="H37" s="23"/>
      <c r="I37" s="23"/>
      <c r="J37" s="23"/>
    </row>
    <row r="38" spans="2:10" ht="18" customHeight="1">
      <c r="B38" s="120" t="str">
        <f>"Prepared by Baobab Consulting  ·  Commercial in Confidence — "&amp;FamilyName&amp;" Group  ·  FY "&amp;FYYear</f>
        <v>Prepared by Baobab Consulting  ·  Commercial in Confidence — Le Group  ·  FY 2025-26</v>
      </c>
      <c r="C38" s="120"/>
      <c r="D38" s="120"/>
      <c r="E38" s="120"/>
      <c r="F38" s="120"/>
      <c r="G38" s="120"/>
      <c r="H38" s="120"/>
      <c r="I38" s="120"/>
      <c r="J38" s="120"/>
    </row>
  </sheetData>
  <sheetProtection password="CBB8" sheet="1" objects="1" scenarios="1" formatCells="0" formatColumns="0" formatRows="0" insertColumns="0" insertRows="0" deleteColumns="0" deleteRows="0" sort="0" autoFilter="0"/>
  <mergeCells count="22">
    <mergeCell ref="C1:M1"/>
    <mergeCell ref="C2:M2"/>
    <mergeCell ref="B3:M3"/>
    <mergeCell ref="B5:E5"/>
    <mergeCell ref="B13:E13"/>
    <mergeCell ref="B24:E24"/>
    <mergeCell ref="B28:I28"/>
    <mergeCell ref="B29:C29"/>
    <mergeCell ref="D29:I29"/>
    <mergeCell ref="B30:C30"/>
    <mergeCell ref="D30:I30"/>
    <mergeCell ref="B31:C31"/>
    <mergeCell ref="D31:I31"/>
    <mergeCell ref="B32:C32"/>
    <mergeCell ref="D32:I32"/>
    <mergeCell ref="B33:C33"/>
    <mergeCell ref="D33:I33"/>
    <mergeCell ref="B34:C34"/>
    <mergeCell ref="D34:I34"/>
    <mergeCell ref="B35:C35"/>
    <mergeCell ref="D35:I35"/>
    <mergeCell ref="B38:J38"/>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showGridLines="0" zoomScaleNormal="100" workbookViewId="0">
      <pane xSplit="1" ySplit="3" topLeftCell="B21" activePane="bottomRight" state="frozen"/>
      <selection pane="bottomRight" activeCell="C20" sqref="C20"/>
      <selection pane="bottomLeft" activeCell="A4" sqref="A4"/>
      <selection pane="topRight" activeCell="B1" sqref="B1"/>
    </sheetView>
  </sheetViews>
  <sheetFormatPr defaultColWidth="8.7109375" defaultRowHeight="15"/>
  <cols>
    <col min="1" max="1" width="2" style="1" customWidth="1"/>
    <col min="2" max="2" width="30" style="1" customWidth="1"/>
    <col min="3" max="6" width="14" style="1" customWidth="1"/>
    <col min="7" max="7" width="3" style="1" customWidth="1"/>
    <col min="8" max="11" width="14" style="1" customWidth="1"/>
  </cols>
  <sheetData>
    <row r="1" spans="1:18" ht="90" customHeight="1">
      <c r="A1" s="8"/>
      <c r="B1" s="8"/>
      <c r="C1" s="132" t="str">
        <f>FamilyName&amp;" Group — Income Planning"</f>
        <v>Le Group — Income Planning</v>
      </c>
      <c r="D1" s="132"/>
      <c r="E1" s="132"/>
      <c r="F1" s="132"/>
      <c r="G1" s="132"/>
      <c r="H1" s="132"/>
      <c r="I1" s="132"/>
      <c r="J1" s="132"/>
      <c r="K1" s="132"/>
      <c r="L1" s="132"/>
      <c r="M1" s="132"/>
      <c r="N1" s="132"/>
      <c r="O1" s="8"/>
      <c r="P1" s="8"/>
      <c r="Q1" s="8"/>
      <c r="R1" s="9"/>
    </row>
    <row r="2" spans="1:18" ht="18" customHeight="1">
      <c r="A2" s="10"/>
      <c r="B2" s="10"/>
      <c r="C2" s="133" t="str">
        <f>"FY "&amp;FYYear&amp;"  ·  Baobab Consulting  ·  Confidential"</f>
        <v>FY 2025-26  ·  Baobab Consulting  ·  Confidential</v>
      </c>
      <c r="D2" s="133"/>
      <c r="E2" s="133"/>
      <c r="F2" s="133"/>
      <c r="G2" s="133"/>
      <c r="H2" s="133"/>
      <c r="I2" s="133"/>
      <c r="J2" s="133"/>
      <c r="K2" s="133"/>
      <c r="L2" s="133"/>
      <c r="M2" s="133"/>
      <c r="N2" s="133"/>
      <c r="O2" s="10"/>
      <c r="P2" s="10"/>
      <c r="Q2" s="10"/>
      <c r="R2" s="9"/>
    </row>
    <row r="3" spans="1:18" ht="13.5" customHeight="1">
      <c r="A3" s="11"/>
      <c r="B3" s="134" t="s">
        <v>1</v>
      </c>
      <c r="C3" s="134"/>
      <c r="D3" s="134"/>
      <c r="E3" s="134"/>
      <c r="F3" s="134"/>
      <c r="G3" s="134"/>
      <c r="H3" s="134"/>
      <c r="I3" s="134"/>
      <c r="J3" s="134"/>
      <c r="K3" s="134"/>
      <c r="L3" s="134"/>
      <c r="M3" s="134"/>
      <c r="N3" s="134"/>
      <c r="O3" s="11"/>
      <c r="P3" s="11"/>
      <c r="Q3" s="11"/>
      <c r="R3" s="9"/>
    </row>
    <row r="4" spans="1:18" ht="31.5" customHeight="1">
      <c r="B4" s="45" t="s">
        <v>178</v>
      </c>
      <c r="C4" s="113" t="str">
        <f>TrustName</f>
        <v>Le Family Trust</v>
      </c>
      <c r="D4" s="113" t="str">
        <f>Person1</f>
        <v>Lina</v>
      </c>
      <c r="E4" s="113" t="str">
        <f>Person2</f>
        <v>TBC</v>
      </c>
      <c r="F4" s="113" t="s">
        <v>179</v>
      </c>
      <c r="G4" s="46"/>
      <c r="H4" s="45" t="str">
        <f>TrustName</f>
        <v>Le Family Trust</v>
      </c>
      <c r="I4" s="45" t="str">
        <f>Person1</f>
        <v>Lina</v>
      </c>
      <c r="J4" s="45" t="str">
        <f>Person2</f>
        <v>TBC</v>
      </c>
      <c r="K4" s="45" t="s">
        <v>179</v>
      </c>
    </row>
    <row r="5" spans="1:18" ht="30" customHeight="1">
      <c r="B5" s="47"/>
      <c r="C5" s="48" t="s">
        <v>131</v>
      </c>
      <c r="D5" s="48" t="s">
        <v>131</v>
      </c>
      <c r="E5" s="48" t="s">
        <v>131</v>
      </c>
      <c r="F5" s="48" t="s">
        <v>131</v>
      </c>
      <c r="G5" s="46"/>
      <c r="H5" s="49" t="s">
        <v>132</v>
      </c>
      <c r="I5" s="49" t="s">
        <v>132</v>
      </c>
      <c r="J5" s="49" t="s">
        <v>132</v>
      </c>
      <c r="K5" s="49" t="s">
        <v>132</v>
      </c>
    </row>
    <row r="6" spans="1:18" ht="21.75" customHeight="1">
      <c r="B6" s="128" t="s">
        <v>180</v>
      </c>
      <c r="C6" s="128"/>
      <c r="D6" s="128"/>
      <c r="E6" s="128"/>
      <c r="F6" s="128"/>
      <c r="G6" s="128"/>
      <c r="H6" s="128"/>
      <c r="I6" s="128"/>
      <c r="J6" s="128"/>
      <c r="K6" s="128"/>
    </row>
    <row r="7" spans="1:18" ht="18" customHeight="1">
      <c r="B7" s="18" t="s">
        <v>181</v>
      </c>
      <c r="C7" s="42">
        <v>0</v>
      </c>
      <c r="D7" s="42">
        <v>0</v>
      </c>
      <c r="E7" s="42">
        <v>0</v>
      </c>
      <c r="F7" s="37">
        <f>SUM(C7:E7)</f>
        <v>0</v>
      </c>
      <c r="G7" s="46"/>
      <c r="H7" s="37">
        <f>C7*12</f>
        <v>0</v>
      </c>
      <c r="I7" s="37">
        <f>D7*12</f>
        <v>0</v>
      </c>
      <c r="J7" s="37">
        <f>E7*12</f>
        <v>0</v>
      </c>
      <c r="K7" s="37">
        <f>SUM(H7:J7)</f>
        <v>0</v>
      </c>
    </row>
    <row r="8" spans="1:18" ht="18" customHeight="1">
      <c r="B8" s="15" t="s">
        <v>182</v>
      </c>
      <c r="C8" s="42">
        <v>0</v>
      </c>
      <c r="D8" s="42">
        <v>0</v>
      </c>
      <c r="E8" s="42">
        <v>0</v>
      </c>
      <c r="F8" s="37">
        <f>SUM(C8:E8)</f>
        <v>0</v>
      </c>
      <c r="G8" s="46"/>
      <c r="H8" s="37">
        <f>C8*12</f>
        <v>0</v>
      </c>
      <c r="I8" s="37">
        <f>D8*12</f>
        <v>0</v>
      </c>
      <c r="J8" s="37">
        <f>E8*12</f>
        <v>0</v>
      </c>
      <c r="K8" s="37">
        <f>SUM(H8:J8)</f>
        <v>0</v>
      </c>
    </row>
    <row r="9" spans="1:18" ht="18" customHeight="1">
      <c r="B9" s="18" t="s">
        <v>183</v>
      </c>
      <c r="C9" s="42">
        <v>0</v>
      </c>
      <c r="D9" s="42">
        <v>0</v>
      </c>
      <c r="E9" s="42">
        <v>0</v>
      </c>
      <c r="F9" s="37">
        <f>SUM(C9:E9)</f>
        <v>0</v>
      </c>
      <c r="G9" s="46"/>
      <c r="H9" s="37">
        <f>C9*12</f>
        <v>0</v>
      </c>
      <c r="I9" s="37">
        <f>D9*12</f>
        <v>0</v>
      </c>
      <c r="J9" s="37">
        <f>E9*12</f>
        <v>0</v>
      </c>
      <c r="K9" s="37">
        <f>SUM(H9:J9)</f>
        <v>0</v>
      </c>
    </row>
    <row r="10" spans="1:18" ht="24" customHeight="1">
      <c r="B10" s="50" t="s">
        <v>184</v>
      </c>
      <c r="C10" s="41">
        <f>SUM(C7:C9)</f>
        <v>0</v>
      </c>
      <c r="D10" s="41">
        <f>SUM(D7:D9)</f>
        <v>0</v>
      </c>
      <c r="E10" s="41">
        <f>SUM(E7:E9)</f>
        <v>0</v>
      </c>
      <c r="F10" s="41">
        <f>SUM(C10:E10)</f>
        <v>0</v>
      </c>
      <c r="G10" s="46"/>
      <c r="H10" s="41">
        <f>SUM(H7:H9)</f>
        <v>0</v>
      </c>
      <c r="I10" s="41">
        <f>SUM(I7:I9)</f>
        <v>0</v>
      </c>
      <c r="J10" s="41">
        <f>SUM(J7:J9)</f>
        <v>0</v>
      </c>
      <c r="K10" s="41">
        <f>SUM(H10:J10)</f>
        <v>0</v>
      </c>
    </row>
    <row r="12" spans="1:18" ht="21.75" customHeight="1">
      <c r="B12" s="128" t="s">
        <v>143</v>
      </c>
      <c r="C12" s="128"/>
      <c r="D12" s="128"/>
      <c r="E12" s="128"/>
      <c r="F12" s="128"/>
      <c r="G12" s="128"/>
      <c r="H12" s="128"/>
      <c r="I12" s="128"/>
      <c r="J12" s="128"/>
      <c r="K12" s="128"/>
    </row>
    <row r="13" spans="1:18" ht="18" customHeight="1">
      <c r="B13" s="18" t="s">
        <v>182</v>
      </c>
      <c r="C13" s="42">
        <v>0</v>
      </c>
      <c r="D13" s="42">
        <v>0</v>
      </c>
      <c r="E13" s="42">
        <v>0</v>
      </c>
      <c r="F13" s="37">
        <f>SUM(C13:E13)</f>
        <v>0</v>
      </c>
      <c r="G13" s="46"/>
      <c r="H13" s="37">
        <f>C13*12</f>
        <v>0</v>
      </c>
      <c r="I13" s="37">
        <f>D13*12</f>
        <v>0</v>
      </c>
      <c r="J13" s="37">
        <f>E13*12</f>
        <v>0</v>
      </c>
      <c r="K13" s="37">
        <f>SUM(H13:J13)</f>
        <v>0</v>
      </c>
    </row>
    <row r="14" spans="1:18" ht="18" customHeight="1">
      <c r="B14" s="15" t="s">
        <v>182</v>
      </c>
      <c r="C14" s="42">
        <v>0</v>
      </c>
      <c r="D14" s="42">
        <v>0</v>
      </c>
      <c r="E14" s="42">
        <v>0</v>
      </c>
      <c r="F14" s="37">
        <f>SUM(C14:E14)</f>
        <v>0</v>
      </c>
      <c r="G14" s="46"/>
      <c r="H14" s="37">
        <f>C14*12</f>
        <v>0</v>
      </c>
      <c r="I14" s="37">
        <f>D14*12</f>
        <v>0</v>
      </c>
      <c r="J14" s="37">
        <f>E14*12</f>
        <v>0</v>
      </c>
      <c r="K14" s="37">
        <f>SUM(H14:J14)</f>
        <v>0</v>
      </c>
    </row>
    <row r="15" spans="1:18" ht="18" customHeight="1">
      <c r="B15" s="18" t="s">
        <v>185</v>
      </c>
      <c r="C15" s="42">
        <v>0</v>
      </c>
      <c r="D15" s="42">
        <v>0</v>
      </c>
      <c r="E15" s="42">
        <v>0</v>
      </c>
      <c r="F15" s="37">
        <f>SUM(C15:E15)</f>
        <v>0</v>
      </c>
      <c r="G15" s="46"/>
      <c r="H15" s="37">
        <f>C15*12</f>
        <v>0</v>
      </c>
      <c r="I15" s="37">
        <f>D15*12</f>
        <v>0</v>
      </c>
      <c r="J15" s="37">
        <f>E15*12</f>
        <v>0</v>
      </c>
      <c r="K15" s="37">
        <f>SUM(H15:J15)</f>
        <v>0</v>
      </c>
    </row>
    <row r="16" spans="1:18" ht="18" customHeight="1">
      <c r="B16" s="50" t="s">
        <v>186</v>
      </c>
      <c r="C16" s="41">
        <f>SUM(C13:C15)</f>
        <v>0</v>
      </c>
      <c r="D16" s="41">
        <f>SUM(D13:D15)</f>
        <v>0</v>
      </c>
      <c r="E16" s="41">
        <f>SUM(E13:E15)</f>
        <v>0</v>
      </c>
      <c r="F16" s="41">
        <f>SUM(C16:E16)</f>
        <v>0</v>
      </c>
      <c r="G16" s="46"/>
      <c r="H16" s="41">
        <f>SUM(H13:H15)</f>
        <v>0</v>
      </c>
      <c r="I16" s="41">
        <f>SUM(I13:I15)</f>
        <v>0</v>
      </c>
      <c r="J16" s="41">
        <f>SUM(J13:J15)</f>
        <v>0</v>
      </c>
      <c r="K16" s="41">
        <f>SUM(H16:J16)</f>
        <v>0</v>
      </c>
    </row>
    <row r="18" spans="2:11" ht="21.75" customHeight="1">
      <c r="B18" s="127" t="s">
        <v>187</v>
      </c>
      <c r="C18" s="127"/>
      <c r="D18" s="127"/>
      <c r="E18" s="127"/>
      <c r="F18" s="127"/>
      <c r="G18" s="127"/>
      <c r="H18" s="127"/>
      <c r="I18" s="127"/>
      <c r="J18" s="127"/>
      <c r="K18" s="127"/>
    </row>
    <row r="19" spans="2:11" ht="18" customHeight="1">
      <c r="B19" s="18" t="s">
        <v>182</v>
      </c>
      <c r="C19" s="42">
        <v>0</v>
      </c>
      <c r="D19" s="42">
        <v>0</v>
      </c>
      <c r="E19" s="42">
        <v>0</v>
      </c>
      <c r="F19" s="37">
        <f>SUM(C19:E19)</f>
        <v>0</v>
      </c>
      <c r="G19" s="46"/>
      <c r="H19" s="37">
        <f>C19*12</f>
        <v>0</v>
      </c>
      <c r="I19" s="37">
        <f>D19*12</f>
        <v>0</v>
      </c>
      <c r="J19" s="37">
        <f>E19*12</f>
        <v>0</v>
      </c>
      <c r="K19" s="37">
        <f>SUM(H19:J19)</f>
        <v>0</v>
      </c>
    </row>
    <row r="20" spans="2:11" ht="18" customHeight="1">
      <c r="B20" s="15" t="s">
        <v>182</v>
      </c>
      <c r="C20" s="42">
        <v>0</v>
      </c>
      <c r="D20" s="42">
        <v>0</v>
      </c>
      <c r="E20" s="42">
        <v>0</v>
      </c>
      <c r="F20" s="37">
        <f>SUM(C20:E20)</f>
        <v>0</v>
      </c>
      <c r="G20" s="46"/>
      <c r="H20" s="37">
        <f>C20*12</f>
        <v>0</v>
      </c>
      <c r="I20" s="37">
        <f>D20*12</f>
        <v>0</v>
      </c>
      <c r="J20" s="37">
        <f>E20*12</f>
        <v>0</v>
      </c>
      <c r="K20" s="37">
        <f>SUM(H20:J20)</f>
        <v>0</v>
      </c>
    </row>
    <row r="21" spans="2:11" ht="18" customHeight="1">
      <c r="B21" s="18" t="s">
        <v>188</v>
      </c>
      <c r="C21" s="42">
        <v>0</v>
      </c>
      <c r="D21" s="42">
        <v>0</v>
      </c>
      <c r="E21" s="42">
        <v>0</v>
      </c>
      <c r="F21" s="37">
        <f>SUM(C21:E21)</f>
        <v>0</v>
      </c>
      <c r="G21" s="46"/>
      <c r="H21" s="37">
        <f>C21*12</f>
        <v>0</v>
      </c>
      <c r="I21" s="37">
        <f>D21*12</f>
        <v>0</v>
      </c>
      <c r="J21" s="37">
        <f>E21*12</f>
        <v>0</v>
      </c>
      <c r="K21" s="37">
        <f>SUM(H21:J21)</f>
        <v>0</v>
      </c>
    </row>
    <row r="22" spans="2:11" ht="18" customHeight="1">
      <c r="B22" s="50" t="s">
        <v>189</v>
      </c>
      <c r="C22" s="41">
        <f>SUM(C19:C21)</f>
        <v>0</v>
      </c>
      <c r="D22" s="41">
        <f>SUM(D19:D21)</f>
        <v>0</v>
      </c>
      <c r="E22" s="41">
        <f>SUM(E19:E21)</f>
        <v>0</v>
      </c>
      <c r="F22" s="41">
        <f>SUM(C22:E22)</f>
        <v>0</v>
      </c>
      <c r="G22" s="46"/>
      <c r="H22" s="41">
        <f>SUM(H19:H21)</f>
        <v>0</v>
      </c>
      <c r="I22" s="41">
        <f>SUM(I19:I21)</f>
        <v>0</v>
      </c>
      <c r="J22" s="41">
        <f>SUM(J19:J21)</f>
        <v>0</v>
      </c>
      <c r="K22" s="41">
        <f>SUM(H22:J22)</f>
        <v>0</v>
      </c>
    </row>
    <row r="24" spans="2:11" ht="21.75" customHeight="1">
      <c r="B24" s="128" t="s">
        <v>190</v>
      </c>
      <c r="C24" s="128"/>
      <c r="D24" s="128"/>
      <c r="E24" s="128"/>
      <c r="F24" s="128"/>
      <c r="G24" s="128"/>
      <c r="H24" s="128"/>
      <c r="I24" s="128"/>
      <c r="J24" s="128"/>
      <c r="K24" s="128"/>
    </row>
    <row r="25" spans="2:11" ht="18" customHeight="1">
      <c r="B25" s="39" t="s">
        <v>191</v>
      </c>
      <c r="C25" s="42">
        <v>0</v>
      </c>
      <c r="D25" s="42">
        <v>0</v>
      </c>
      <c r="E25" s="42">
        <v>0</v>
      </c>
      <c r="F25" s="37">
        <f>SUM(C25:E25)</f>
        <v>0</v>
      </c>
      <c r="G25" s="46"/>
      <c r="H25" s="37">
        <f>C25*12</f>
        <v>0</v>
      </c>
      <c r="I25" s="37">
        <f>D25*12</f>
        <v>0</v>
      </c>
      <c r="J25" s="37">
        <f>E25*12</f>
        <v>0</v>
      </c>
      <c r="K25" s="37">
        <f>SUM(H25:J25)</f>
        <v>0</v>
      </c>
    </row>
    <row r="26" spans="2:11" ht="18" customHeight="1">
      <c r="B26" s="15" t="s">
        <v>192</v>
      </c>
      <c r="C26" s="42">
        <v>0</v>
      </c>
      <c r="D26" s="42">
        <v>0</v>
      </c>
      <c r="E26" s="42">
        <v>0</v>
      </c>
      <c r="F26" s="37">
        <f>SUM(C26:E26)</f>
        <v>0</v>
      </c>
      <c r="G26" s="46"/>
      <c r="H26" s="37">
        <f>C26*12</f>
        <v>0</v>
      </c>
      <c r="I26" s="37">
        <f>D26*12</f>
        <v>0</v>
      </c>
      <c r="J26" s="37">
        <f>E26*12</f>
        <v>0</v>
      </c>
      <c r="K26" s="37">
        <f>SUM(H26:J26)</f>
        <v>0</v>
      </c>
    </row>
    <row r="27" spans="2:11" ht="18" customHeight="1">
      <c r="B27" s="18" t="s">
        <v>193</v>
      </c>
      <c r="C27" s="42">
        <v>0</v>
      </c>
      <c r="D27" s="42">
        <v>0</v>
      </c>
      <c r="E27" s="42">
        <v>0</v>
      </c>
      <c r="F27" s="37">
        <f>SUM(C27:E27)</f>
        <v>0</v>
      </c>
      <c r="G27" s="46"/>
      <c r="H27" s="37">
        <f>C27*12</f>
        <v>0</v>
      </c>
      <c r="I27" s="37">
        <f>D27*12</f>
        <v>0</v>
      </c>
      <c r="J27" s="37">
        <f>E27*12</f>
        <v>0</v>
      </c>
      <c r="K27" s="37">
        <f>SUM(H27:J27)</f>
        <v>0</v>
      </c>
    </row>
    <row r="28" spans="2:11" ht="18" customHeight="1">
      <c r="B28" s="50" t="s">
        <v>194</v>
      </c>
      <c r="C28" s="41">
        <f>SUM(C25:C27)</f>
        <v>0</v>
      </c>
      <c r="D28" s="41">
        <f>SUM(D25:D27)</f>
        <v>0</v>
      </c>
      <c r="E28" s="41">
        <f>SUM(E25:E27)</f>
        <v>0</v>
      </c>
      <c r="F28" s="41">
        <f>SUM(C28:E28)</f>
        <v>0</v>
      </c>
      <c r="G28" s="46"/>
      <c r="H28" s="41">
        <f>SUM(H25:H27)</f>
        <v>0</v>
      </c>
      <c r="I28" s="41">
        <f>SUM(I25:I27)</f>
        <v>0</v>
      </c>
      <c r="J28" s="41">
        <f>SUM(J25:J27)</f>
        <v>0</v>
      </c>
      <c r="K28" s="41">
        <f>SUM(H28:J28)</f>
        <v>0</v>
      </c>
    </row>
    <row r="30" spans="2:11" ht="21.75" customHeight="1">
      <c r="B30" s="129" t="s">
        <v>195</v>
      </c>
      <c r="C30" s="129"/>
      <c r="D30" s="129"/>
      <c r="E30" s="129"/>
      <c r="F30" s="129"/>
      <c r="G30" s="129"/>
      <c r="H30" s="129"/>
      <c r="I30" s="129"/>
      <c r="J30" s="129"/>
      <c r="K30" s="129"/>
    </row>
    <row r="31" spans="2:11" ht="18" customHeight="1">
      <c r="B31" s="119" t="s">
        <v>196</v>
      </c>
      <c r="C31" s="41">
        <f>C10+C16+C22+C28</f>
        <v>0</v>
      </c>
      <c r="D31" s="41">
        <f>D10+D16+D22+D28</f>
        <v>0</v>
      </c>
      <c r="E31" s="41">
        <f>E10+E16+E22+E28</f>
        <v>0</v>
      </c>
      <c r="F31" s="41">
        <f>SUM(C31:E31)</f>
        <v>0</v>
      </c>
      <c r="G31" s="46"/>
      <c r="H31" s="41">
        <f>H10+H16+H22+H28</f>
        <v>0</v>
      </c>
      <c r="I31" s="41">
        <f>I10+I16+I22+I28</f>
        <v>0</v>
      </c>
      <c r="J31" s="41">
        <f>J10+J16+J22+J28</f>
        <v>0</v>
      </c>
      <c r="K31" s="41">
        <f>SUM(H31:J31)</f>
        <v>0</v>
      </c>
    </row>
    <row r="34" spans="2:11" ht="18" customHeight="1">
      <c r="B34" s="130" t="s">
        <v>197</v>
      </c>
      <c r="C34" s="130"/>
      <c r="D34" s="130"/>
      <c r="E34" s="130"/>
      <c r="F34" s="130"/>
      <c r="G34" s="130"/>
      <c r="H34" s="130"/>
      <c r="I34" s="130"/>
    </row>
    <row r="35" spans="2:11" ht="36" customHeight="1">
      <c r="B35" s="131" t="s">
        <v>198</v>
      </c>
      <c r="C35" s="131"/>
      <c r="D35" s="122"/>
      <c r="E35" s="122"/>
      <c r="F35" s="122"/>
      <c r="G35" s="122"/>
      <c r="H35" s="122"/>
      <c r="I35" s="122"/>
    </row>
    <row r="36" spans="2:11" ht="36" customHeight="1">
      <c r="B36" s="125" t="s">
        <v>199</v>
      </c>
      <c r="C36" s="125"/>
      <c r="D36" s="126" t="str">
        <f>"Monthly amounts: Trust | "&amp;Person1&amp;" | "&amp;Person2&amp;"  (amber cells = enter here)"</f>
        <v>Monthly amounts: Trust | Lina | TBC  (amber cells = enter here)</v>
      </c>
      <c r="E36" s="126"/>
      <c r="F36" s="126"/>
      <c r="G36" s="126"/>
      <c r="H36" s="126"/>
      <c r="I36" s="126"/>
    </row>
    <row r="37" spans="2:11" ht="18" customHeight="1">
      <c r="B37" s="121" t="s">
        <v>200</v>
      </c>
      <c r="C37" s="121"/>
      <c r="D37" s="122" t="s">
        <v>201</v>
      </c>
      <c r="E37" s="122"/>
      <c r="F37" s="122"/>
      <c r="G37" s="122"/>
      <c r="H37" s="122"/>
      <c r="I37" s="122"/>
    </row>
    <row r="38" spans="2:11" ht="18" customHeight="1">
      <c r="B38" s="123" t="s">
        <v>202</v>
      </c>
      <c r="C38" s="123"/>
      <c r="D38" s="124" t="s">
        <v>203</v>
      </c>
      <c r="E38" s="124"/>
      <c r="F38" s="124"/>
      <c r="G38" s="124"/>
      <c r="H38" s="124"/>
      <c r="I38" s="124"/>
    </row>
    <row r="39" spans="2:11" ht="18" customHeight="1">
      <c r="B39" s="121" t="s">
        <v>204</v>
      </c>
      <c r="C39" s="121"/>
      <c r="D39" s="122" t="s">
        <v>205</v>
      </c>
      <c r="E39" s="122"/>
      <c r="F39" s="122"/>
      <c r="G39" s="122"/>
      <c r="H39" s="122"/>
      <c r="I39" s="122"/>
    </row>
    <row r="40" spans="2:11" ht="18" customHeight="1">
      <c r="B40" s="123" t="s">
        <v>206</v>
      </c>
      <c r="C40" s="123"/>
      <c r="D40" s="124" t="s">
        <v>207</v>
      </c>
      <c r="E40" s="124"/>
      <c r="F40" s="124"/>
      <c r="G40" s="124"/>
      <c r="H40" s="124"/>
      <c r="I40" s="124"/>
    </row>
    <row r="41" spans="2:11" ht="18" customHeight="1">
      <c r="B41" s="121" t="s">
        <v>107</v>
      </c>
      <c r="C41" s="121"/>
      <c r="D41" s="122" t="s">
        <v>208</v>
      </c>
      <c r="E41" s="122"/>
      <c r="F41" s="122"/>
      <c r="G41" s="122"/>
      <c r="H41" s="122"/>
      <c r="I41" s="122"/>
    </row>
    <row r="43" spans="2:11" ht="1.5" customHeight="1">
      <c r="B43" s="23"/>
      <c r="C43" s="23"/>
      <c r="D43" s="23"/>
      <c r="E43" s="23"/>
      <c r="F43" s="23"/>
      <c r="G43" s="23"/>
      <c r="H43" s="23"/>
      <c r="I43" s="23"/>
      <c r="J43" s="23"/>
      <c r="K43" s="23"/>
    </row>
    <row r="44" spans="2:11" ht="18" customHeight="1">
      <c r="B44" s="120" t="str">
        <f>"Prepared by Baobab Consulting  ·  Commercial in Confidence — "&amp;FamilyName&amp;" Group  ·  FY "&amp;FYYear</f>
        <v>Prepared by Baobab Consulting  ·  Commercial in Confidence — Le Group  ·  FY 2025-26</v>
      </c>
      <c r="C44" s="120"/>
      <c r="D44" s="120"/>
      <c r="E44" s="120"/>
      <c r="F44" s="120"/>
      <c r="G44" s="120"/>
      <c r="H44" s="120"/>
      <c r="I44" s="120"/>
      <c r="J44" s="120"/>
      <c r="K44" s="120"/>
    </row>
  </sheetData>
  <sheetProtection algorithmName="SHA-512" hashValue="py1QfnVBwY+KM4Zg3QE11lqWMGXBKkA9Xrodou2OYX8JBykv37unuA+xOIzTSaDArDpy1h/bMVU5fu2GW3hgYw==" saltValue="3E1d+CNAYaDFO6IMBAfBhQ==" spinCount="100000" sheet="1" objects="1" scenarios="1" formatCells="0" formatColumns="0" formatRows="0" insertColumns="0" insertRows="0" deleteColumns="0" deleteRows="0" sort="0" autoFilter="0"/>
  <mergeCells count="24">
    <mergeCell ref="C1:N1"/>
    <mergeCell ref="C2:N2"/>
    <mergeCell ref="B3:N3"/>
    <mergeCell ref="B6:K6"/>
    <mergeCell ref="B12:K12"/>
    <mergeCell ref="B18:K18"/>
    <mergeCell ref="B24:K24"/>
    <mergeCell ref="B30:K30"/>
    <mergeCell ref="B34:I34"/>
    <mergeCell ref="B35:C35"/>
    <mergeCell ref="D35:I35"/>
    <mergeCell ref="B36:C36"/>
    <mergeCell ref="D36:I36"/>
    <mergeCell ref="B37:C37"/>
    <mergeCell ref="D37:I37"/>
    <mergeCell ref="B38:C38"/>
    <mergeCell ref="D38:I38"/>
    <mergeCell ref="B44:K44"/>
    <mergeCell ref="B39:C39"/>
    <mergeCell ref="D39:I39"/>
    <mergeCell ref="B40:C40"/>
    <mergeCell ref="D40:I40"/>
    <mergeCell ref="B41:C41"/>
    <mergeCell ref="D41:I41"/>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9"/>
  <sheetViews>
    <sheetView showGridLines="0" zoomScaleNormal="100" workbookViewId="0">
      <pane xSplit="2" ySplit="4" topLeftCell="C5" activePane="bottomRight" state="frozen"/>
      <selection pane="bottomRight" activeCell="D4" sqref="D4"/>
      <selection pane="bottomLeft" activeCell="A5" sqref="A5"/>
      <selection pane="topRight" activeCell="C1" sqref="C1"/>
    </sheetView>
  </sheetViews>
  <sheetFormatPr defaultColWidth="8.7109375" defaultRowHeight="15"/>
  <cols>
    <col min="1" max="1" width="2" style="1" customWidth="1"/>
    <col min="2" max="2" width="36" style="1" customWidth="1"/>
    <col min="3" max="5" width="16" style="1" customWidth="1"/>
    <col min="6" max="7" width="30" style="1" customWidth="1"/>
    <col min="8" max="9" width="14" style="1" customWidth="1"/>
  </cols>
  <sheetData>
    <row r="1" spans="1:16" ht="90" customHeight="1">
      <c r="A1" s="8"/>
      <c r="B1" s="8"/>
      <c r="C1" s="132" t="str">
        <f>FamilyName&amp;" Group — Tax Estimator"</f>
        <v>Le Group — Tax Estimator</v>
      </c>
      <c r="D1" s="132"/>
      <c r="E1" s="132"/>
      <c r="F1" s="132"/>
      <c r="G1" s="132"/>
      <c r="H1" s="132"/>
      <c r="I1" s="132"/>
      <c r="J1" s="132"/>
      <c r="K1" s="132"/>
      <c r="L1" s="132"/>
      <c r="M1" s="8"/>
      <c r="N1" s="8"/>
      <c r="O1" s="8"/>
      <c r="P1" s="9"/>
    </row>
    <row r="2" spans="1:16" ht="18" customHeight="1">
      <c r="A2" s="10"/>
      <c r="B2" s="10"/>
      <c r="C2" s="133" t="str">
        <f>"FY "&amp;FYYear&amp;"  ·  Baobab Consulting  ·  Confidential"</f>
        <v>FY 2025-26  ·  Baobab Consulting  ·  Confidential</v>
      </c>
      <c r="D2" s="133"/>
      <c r="E2" s="133"/>
      <c r="F2" s="133"/>
      <c r="G2" s="133"/>
      <c r="H2" s="133"/>
      <c r="I2" s="133"/>
      <c r="J2" s="133"/>
      <c r="K2" s="133"/>
      <c r="L2" s="133"/>
      <c r="M2" s="10"/>
      <c r="N2" s="10"/>
      <c r="O2" s="10"/>
      <c r="P2" s="9"/>
    </row>
    <row r="3" spans="1:16" ht="13.5" customHeight="1">
      <c r="A3" s="11"/>
      <c r="B3" s="134" t="s">
        <v>1</v>
      </c>
      <c r="C3" s="134"/>
      <c r="D3" s="134"/>
      <c r="E3" s="134"/>
      <c r="F3" s="134"/>
      <c r="G3" s="134"/>
      <c r="H3" s="134"/>
      <c r="I3" s="134"/>
      <c r="J3" s="134"/>
      <c r="K3" s="134"/>
      <c r="L3" s="134"/>
      <c r="M3" s="11"/>
      <c r="N3" s="11"/>
      <c r="O3" s="11"/>
      <c r="P3" s="9"/>
    </row>
    <row r="4" spans="1:16" ht="31.5" customHeight="1">
      <c r="B4" s="115" t="s">
        <v>209</v>
      </c>
      <c r="C4" s="51" t="str">
        <f>Person1</f>
        <v>Lina</v>
      </c>
      <c r="D4" s="51" t="str">
        <f>Person2</f>
        <v>TBC</v>
      </c>
      <c r="E4" s="51" t="s">
        <v>210</v>
      </c>
      <c r="F4" s="115" t="s">
        <v>27</v>
      </c>
      <c r="G4" s="149" t="s">
        <v>211</v>
      </c>
      <c r="H4" s="149"/>
      <c r="I4" s="149"/>
    </row>
    <row r="5" spans="1:16" ht="21.75" customHeight="1">
      <c r="B5" s="139" t="s">
        <v>212</v>
      </c>
      <c r="C5" s="139"/>
      <c r="D5" s="139"/>
      <c r="E5" s="139"/>
      <c r="F5" s="52"/>
      <c r="G5" s="51" t="s">
        <v>213</v>
      </c>
      <c r="H5" s="51" t="str">
        <f>Person1</f>
        <v>Lina</v>
      </c>
      <c r="I5" s="51" t="str">
        <f>Person2</f>
        <v>TBC</v>
      </c>
    </row>
    <row r="6" spans="1:16" ht="18" customHeight="1">
      <c r="B6" s="53" t="s">
        <v>214</v>
      </c>
      <c r="C6" s="54"/>
      <c r="D6" s="54">
        <v>0</v>
      </c>
      <c r="E6" s="55">
        <f>C6+D6</f>
        <v>0</v>
      </c>
      <c r="F6" s="56"/>
      <c r="G6" s="57" t="s">
        <v>215</v>
      </c>
      <c r="H6" s="55">
        <f>C36</f>
        <v>0</v>
      </c>
      <c r="I6" s="55">
        <f>D36</f>
        <v>0</v>
      </c>
    </row>
    <row r="7" spans="1:16" ht="18" customHeight="1">
      <c r="B7" s="58" t="s">
        <v>216</v>
      </c>
      <c r="C7" s="54">
        <v>0</v>
      </c>
      <c r="D7" s="54">
        <v>0</v>
      </c>
      <c r="E7" s="55">
        <f>C7+D7</f>
        <v>0</v>
      </c>
      <c r="F7" s="59"/>
      <c r="G7" s="60" t="s">
        <v>217</v>
      </c>
      <c r="H7" s="54">
        <v>0</v>
      </c>
      <c r="I7" s="54">
        <v>0</v>
      </c>
    </row>
    <row r="8" spans="1:16" ht="18" customHeight="1">
      <c r="B8" s="53" t="s">
        <v>218</v>
      </c>
      <c r="C8" s="54">
        <v>0</v>
      </c>
      <c r="D8" s="54">
        <v>0</v>
      </c>
      <c r="E8" s="55">
        <f>C8+D8</f>
        <v>0</v>
      </c>
      <c r="F8" s="56"/>
      <c r="G8" s="57" t="s">
        <v>219</v>
      </c>
      <c r="H8" s="54"/>
      <c r="I8" s="54">
        <v>0</v>
      </c>
    </row>
    <row r="9" spans="1:16" ht="18" customHeight="1">
      <c r="B9" s="58" t="s">
        <v>220</v>
      </c>
      <c r="C9" s="54">
        <v>0</v>
      </c>
      <c r="D9" s="54">
        <v>0</v>
      </c>
      <c r="E9" s="55">
        <f>C9+D9</f>
        <v>0</v>
      </c>
      <c r="F9" s="59"/>
      <c r="G9" s="60" t="s">
        <v>221</v>
      </c>
      <c r="H9" s="55">
        <f>H6+H7</f>
        <v>0</v>
      </c>
      <c r="I9" s="55">
        <f>I6+I7</f>
        <v>0</v>
      </c>
    </row>
    <row r="10" spans="1:16" ht="18" customHeight="1">
      <c r="B10" s="53" t="s">
        <v>222</v>
      </c>
      <c r="C10" s="54">
        <v>0</v>
      </c>
      <c r="D10" s="54">
        <v>0</v>
      </c>
      <c r="E10" s="55">
        <f>C10+D10</f>
        <v>0</v>
      </c>
      <c r="F10" s="56"/>
      <c r="G10" s="57" t="s">
        <v>223</v>
      </c>
      <c r="H10" s="54">
        <v>30000</v>
      </c>
      <c r="I10" s="54">
        <v>30000</v>
      </c>
    </row>
    <row r="11" spans="1:16" ht="18" customHeight="1">
      <c r="B11" s="58" t="s">
        <v>224</v>
      </c>
      <c r="C11" s="55">
        <f>C10*FrankingPct*(CorpTaxRate/(1-CorpTaxRate))</f>
        <v>0</v>
      </c>
      <c r="D11" s="55">
        <f>D10*FrankingPct*(CorpTaxRate/(1-CorpTaxRate))</f>
        <v>0</v>
      </c>
      <c r="E11" s="55">
        <f>C11+D11</f>
        <v>0</v>
      </c>
      <c r="F11" s="59"/>
      <c r="G11" s="60" t="s">
        <v>225</v>
      </c>
      <c r="H11" s="55">
        <f>H10-H8</f>
        <v>30000</v>
      </c>
      <c r="I11" s="55">
        <f>I10-I8</f>
        <v>30000</v>
      </c>
    </row>
    <row r="12" spans="1:16" ht="18" customHeight="1">
      <c r="B12" s="53" t="s">
        <v>226</v>
      </c>
      <c r="C12" s="54">
        <v>0</v>
      </c>
      <c r="D12" s="54">
        <v>0</v>
      </c>
      <c r="E12" s="55">
        <f>C12+D12</f>
        <v>0</v>
      </c>
      <c r="F12" s="56"/>
    </row>
    <row r="13" spans="1:16" ht="3.75" customHeight="1">
      <c r="B13" s="61"/>
      <c r="C13" s="61"/>
      <c r="D13" s="61"/>
      <c r="E13" s="61"/>
      <c r="F13" s="61"/>
      <c r="G13" s="61"/>
      <c r="H13" s="61"/>
      <c r="I13" s="61"/>
    </row>
    <row r="14" spans="1:16" ht="21.75" customHeight="1">
      <c r="B14" s="149" t="s">
        <v>227</v>
      </c>
      <c r="C14" s="149"/>
      <c r="D14" s="149"/>
      <c r="E14" s="149"/>
      <c r="F14" s="150" t="s">
        <v>228</v>
      </c>
      <c r="G14" s="150"/>
      <c r="H14" s="150"/>
      <c r="I14" s="150"/>
    </row>
    <row r="15" spans="1:16" ht="18" customHeight="1">
      <c r="B15" s="62" t="s">
        <v>229</v>
      </c>
      <c r="C15" s="54">
        <v>0</v>
      </c>
      <c r="D15" s="54">
        <v>0</v>
      </c>
      <c r="E15" s="55">
        <f>C15+D15</f>
        <v>0</v>
      </c>
      <c r="F15" s="147" t="s">
        <v>230</v>
      </c>
      <c r="G15" s="147"/>
      <c r="H15" s="147"/>
      <c r="I15" s="147"/>
    </row>
    <row r="16" spans="1:16" ht="18" customHeight="1">
      <c r="B16" s="62" t="s">
        <v>231</v>
      </c>
      <c r="C16" s="54">
        <v>0</v>
      </c>
      <c r="D16" s="54">
        <v>0</v>
      </c>
      <c r="E16" s="55">
        <f>C16+D16</f>
        <v>0</v>
      </c>
      <c r="F16" s="146" t="s">
        <v>230</v>
      </c>
      <c r="G16" s="146"/>
      <c r="H16" s="146"/>
      <c r="I16" s="146"/>
    </row>
    <row r="17" spans="2:9" ht="18" customHeight="1">
      <c r="B17" s="62" t="s">
        <v>232</v>
      </c>
      <c r="C17" s="54">
        <v>0</v>
      </c>
      <c r="D17" s="54">
        <v>0</v>
      </c>
      <c r="E17" s="55">
        <f>C17+D17</f>
        <v>0</v>
      </c>
      <c r="F17" s="147" t="s">
        <v>230</v>
      </c>
      <c r="G17" s="147"/>
      <c r="H17" s="147"/>
      <c r="I17" s="147"/>
    </row>
    <row r="18" spans="2:9" ht="18" customHeight="1">
      <c r="B18" s="62" t="s">
        <v>233</v>
      </c>
      <c r="C18" s="54">
        <v>0</v>
      </c>
      <c r="D18" s="54">
        <v>0</v>
      </c>
      <c r="E18" s="55">
        <f>C18+D18</f>
        <v>0</v>
      </c>
      <c r="F18" s="146" t="s">
        <v>230</v>
      </c>
      <c r="G18" s="146"/>
      <c r="H18" s="146"/>
      <c r="I18" s="146"/>
    </row>
    <row r="19" spans="2:9" ht="19.5" customHeight="1">
      <c r="B19" s="63" t="s">
        <v>234</v>
      </c>
      <c r="C19" s="64">
        <f>SUM(C15:C18)</f>
        <v>0</v>
      </c>
      <c r="D19" s="64">
        <f>SUM(D15:D18)</f>
        <v>0</v>
      </c>
      <c r="E19" s="64">
        <f>C19+D19</f>
        <v>0</v>
      </c>
      <c r="F19" s="148" t="s">
        <v>235</v>
      </c>
      <c r="G19" s="148"/>
      <c r="H19" s="148"/>
      <c r="I19" s="148"/>
    </row>
    <row r="20" spans="2:9" ht="3.75" customHeight="1">
      <c r="B20" s="61"/>
      <c r="C20" s="61"/>
      <c r="D20" s="61"/>
      <c r="E20" s="61"/>
      <c r="F20" s="61"/>
      <c r="G20" s="61"/>
      <c r="H20" s="61"/>
      <c r="I20" s="61"/>
    </row>
    <row r="21" spans="2:9" ht="24" customHeight="1">
      <c r="B21" s="65" t="s">
        <v>236</v>
      </c>
      <c r="C21" s="66">
        <f>SUM(C6:C12)-C19</f>
        <v>0</v>
      </c>
      <c r="D21" s="66">
        <f>SUM(D6:D12)-D19</f>
        <v>0</v>
      </c>
      <c r="E21" s="66">
        <f>C21+D21</f>
        <v>0</v>
      </c>
      <c r="F21" s="148" t="s">
        <v>237</v>
      </c>
      <c r="G21" s="148"/>
      <c r="H21" s="148"/>
      <c r="I21" s="148"/>
    </row>
    <row r="22" spans="2:9" ht="7.5" customHeight="1">
      <c r="B22" s="67"/>
      <c r="C22" s="67"/>
      <c r="D22" s="67"/>
      <c r="E22" s="67"/>
      <c r="F22" s="67"/>
      <c r="G22" s="67"/>
      <c r="H22" s="67"/>
      <c r="I22" s="67"/>
    </row>
    <row r="23" spans="2:9" ht="21.75" customHeight="1">
      <c r="B23" s="149" t="s">
        <v>238</v>
      </c>
      <c r="C23" s="149"/>
      <c r="D23" s="149"/>
      <c r="E23" s="149"/>
      <c r="F23" s="68"/>
      <c r="G23" s="68"/>
      <c r="H23" s="68"/>
      <c r="I23" s="68"/>
    </row>
    <row r="24" spans="2:9" ht="18" customHeight="1">
      <c r="B24" s="53" t="s">
        <v>239</v>
      </c>
      <c r="C24" s="55">
        <f>IF(C21&lt;=18200,0,IF(C21&lt;=45000,(C21-18200)*0.16,IF(C21&lt;=135000,4288+(C21-45000)*0.3,IF(C21&lt;=190000,31288+(C21-135000)*0.37,51638+(C21-190000)*0.45))))</f>
        <v>0</v>
      </c>
      <c r="D24" s="55">
        <f>IF(D21&lt;=18200,0,IF(D21&lt;=45000,(D21-18200)*0.16,IF(D21&lt;=135000,4288+(D21-45000)*0.3,IF(D21&lt;=190000,31288+(D21-135000)*0.37,51638+(D21-190000)*0.45))))</f>
        <v>0</v>
      </c>
      <c r="E24" s="55">
        <f>C24+D24</f>
        <v>0</v>
      </c>
      <c r="F24" s="146" t="s">
        <v>240</v>
      </c>
      <c r="G24" s="146"/>
      <c r="H24" s="146"/>
      <c r="I24" s="146"/>
    </row>
    <row r="25" spans="2:9" ht="18" customHeight="1">
      <c r="B25" s="58" t="s">
        <v>241</v>
      </c>
      <c r="C25" s="55">
        <f>-(IF(C21&lt;=37500,700,IF(C21&lt;=45000,700-(C21-37500)*0.05,IF(C21&lt;=66667,325-(C21-45000)*0.015,0))))</f>
        <v>-700</v>
      </c>
      <c r="D25" s="55">
        <f>-(IF(D21&lt;=37500,700,IF(D21&lt;=45000,700-(D21-37500)*0.05,IF(D21&lt;=66667,325-(D21-45000)*0.015,0))))</f>
        <v>-700</v>
      </c>
      <c r="E25" s="55">
        <f>C25+D25</f>
        <v>-1400</v>
      </c>
      <c r="F25" s="147" t="s">
        <v>242</v>
      </c>
      <c r="G25" s="147"/>
      <c r="H25" s="147"/>
      <c r="I25" s="147"/>
    </row>
    <row r="26" spans="2:9" ht="18" customHeight="1">
      <c r="B26" s="53" t="s">
        <v>243</v>
      </c>
      <c r="C26" s="55">
        <f>IF(C21&gt;26000,C21*0.02,0)</f>
        <v>0</v>
      </c>
      <c r="D26" s="55">
        <f>IF(D21&gt;26000,D21*0.02,0)</f>
        <v>0</v>
      </c>
      <c r="E26" s="55">
        <f>C26+D26</f>
        <v>0</v>
      </c>
      <c r="F26" s="146" t="s">
        <v>244</v>
      </c>
      <c r="G26" s="146"/>
      <c r="H26" s="146"/>
      <c r="I26" s="146"/>
    </row>
    <row r="27" spans="2:9" ht="18" customHeight="1">
      <c r="B27" s="58" t="s">
        <v>245</v>
      </c>
      <c r="C27" s="55">
        <f>-C11</f>
        <v>0</v>
      </c>
      <c r="D27" s="55">
        <f>-D11</f>
        <v>0</v>
      </c>
      <c r="E27" s="55">
        <f>C27+D27</f>
        <v>0</v>
      </c>
      <c r="F27" s="147" t="s">
        <v>246</v>
      </c>
      <c r="G27" s="147"/>
      <c r="H27" s="147"/>
      <c r="I27" s="147"/>
    </row>
    <row r="28" spans="2:9" ht="18" customHeight="1">
      <c r="B28" s="53" t="s">
        <v>247</v>
      </c>
      <c r="C28" s="54">
        <v>0</v>
      </c>
      <c r="D28" s="54">
        <v>0</v>
      </c>
      <c r="E28" s="55">
        <f>C28+D28</f>
        <v>0</v>
      </c>
      <c r="F28" s="146" t="s">
        <v>248</v>
      </c>
      <c r="G28" s="146"/>
      <c r="H28" s="146"/>
      <c r="I28" s="146"/>
    </row>
    <row r="29" spans="2:9" ht="18" customHeight="1">
      <c r="B29" s="58" t="s">
        <v>249</v>
      </c>
      <c r="C29" s="54">
        <v>0</v>
      </c>
      <c r="D29" s="54">
        <v>0</v>
      </c>
      <c r="E29" s="55">
        <f>C29+D29</f>
        <v>0</v>
      </c>
      <c r="F29" s="147" t="s">
        <v>250</v>
      </c>
      <c r="G29" s="147"/>
      <c r="H29" s="147"/>
      <c r="I29" s="147"/>
    </row>
    <row r="30" spans="2:9" ht="4.5" customHeight="1">
      <c r="B30" s="67"/>
      <c r="C30" s="67"/>
      <c r="D30" s="67"/>
      <c r="E30" s="67"/>
      <c r="F30" s="67"/>
      <c r="G30" s="67"/>
      <c r="H30" s="67"/>
      <c r="I30" s="67"/>
    </row>
    <row r="31" spans="2:9" ht="25.5" customHeight="1">
      <c r="B31" s="69" t="s">
        <v>251</v>
      </c>
      <c r="C31" s="70">
        <f>MAX(0,SUM(C24:C27))-C28-C29</f>
        <v>0</v>
      </c>
      <c r="D31" s="70">
        <f>MAX(0,SUM(D24:D27))-D28-D29</f>
        <v>0</v>
      </c>
      <c r="E31" s="70">
        <f>MAX(0,SUM(E24:E27))-E28-E29</f>
        <v>0</v>
      </c>
      <c r="F31" s="144" t="s">
        <v>252</v>
      </c>
      <c r="G31" s="144"/>
      <c r="H31" s="144"/>
      <c r="I31" s="144"/>
    </row>
    <row r="32" spans="2:9" ht="7.5" customHeight="1">
      <c r="B32" s="67"/>
      <c r="C32" s="67"/>
      <c r="D32" s="67"/>
      <c r="E32" s="67"/>
      <c r="F32" s="67"/>
      <c r="G32" s="67"/>
      <c r="H32" s="67"/>
      <c r="I32" s="67"/>
    </row>
    <row r="33" spans="2:9" ht="21.75" customHeight="1">
      <c r="B33" s="145" t="s">
        <v>253</v>
      </c>
      <c r="C33" s="145"/>
      <c r="D33" s="145"/>
      <c r="E33" s="145"/>
      <c r="F33" s="71"/>
      <c r="G33" s="71"/>
      <c r="H33" s="71"/>
      <c r="I33" s="71"/>
    </row>
    <row r="34" spans="2:9" ht="18" customHeight="1">
      <c r="B34" s="53" t="s">
        <v>254</v>
      </c>
      <c r="C34" s="72">
        <f>IF(C21&gt;0,MAX(0,SUM(C24:C27))/C21,0)</f>
        <v>0</v>
      </c>
      <c r="D34" s="72">
        <f>IF(D21&gt;0,MAX(0,SUM(D24:D27))/D21,0)</f>
        <v>0</v>
      </c>
      <c r="E34" s="72"/>
      <c r="F34" s="146" t="s">
        <v>255</v>
      </c>
      <c r="G34" s="146"/>
      <c r="H34" s="146"/>
      <c r="I34" s="146"/>
    </row>
    <row r="35" spans="2:9" ht="18" customHeight="1">
      <c r="B35" s="58" t="s">
        <v>256</v>
      </c>
      <c r="C35" s="55">
        <f>C21-MAX(0,SUM(C24:C27))</f>
        <v>0</v>
      </c>
      <c r="D35" s="55">
        <f>D21-MAX(0,SUM(D24:D27))</f>
        <v>0</v>
      </c>
      <c r="E35" s="55">
        <f>C35+D35</f>
        <v>0</v>
      </c>
      <c r="F35" s="147" t="s">
        <v>257</v>
      </c>
      <c r="G35" s="147"/>
      <c r="H35" s="147"/>
      <c r="I35" s="147"/>
    </row>
    <row r="36" spans="2:9" ht="18" customHeight="1">
      <c r="B36" s="53" t="s">
        <v>258</v>
      </c>
      <c r="C36" s="55">
        <f>C6*0.12</f>
        <v>0</v>
      </c>
      <c r="D36" s="55">
        <f>D6*0.12</f>
        <v>0</v>
      </c>
      <c r="E36" s="55">
        <f>C36+D36</f>
        <v>0</v>
      </c>
      <c r="F36" s="146" t="s">
        <v>259</v>
      </c>
      <c r="G36" s="146"/>
      <c r="H36" s="146"/>
      <c r="I36" s="146"/>
    </row>
    <row r="37" spans="2:9" ht="18" customHeight="1"/>
    <row r="38" spans="2:9" ht="18" customHeight="1"/>
    <row r="39" spans="2:9" ht="7.5" customHeight="1">
      <c r="B39" s="67"/>
      <c r="C39" s="67"/>
      <c r="D39" s="67"/>
      <c r="E39" s="67"/>
      <c r="F39" s="67"/>
      <c r="G39" s="67"/>
      <c r="H39" s="67"/>
      <c r="I39" s="67"/>
    </row>
    <row r="40" spans="2:9" ht="21.75" customHeight="1">
      <c r="B40" s="139" t="s">
        <v>260</v>
      </c>
      <c r="C40" s="139"/>
      <c r="D40" s="139"/>
      <c r="E40" s="139"/>
      <c r="F40" s="139"/>
      <c r="G40" s="139"/>
      <c r="H40" s="139"/>
      <c r="I40" s="139"/>
    </row>
    <row r="41" spans="2:9" ht="19.5" customHeight="1">
      <c r="B41" s="73" t="s">
        <v>261</v>
      </c>
      <c r="C41" s="142" t="s">
        <v>262</v>
      </c>
      <c r="D41" s="142"/>
      <c r="E41" s="142"/>
      <c r="F41" s="142"/>
      <c r="G41" s="142"/>
      <c r="H41" s="142"/>
      <c r="I41" s="142"/>
    </row>
    <row r="42" spans="2:9" ht="19.5" customHeight="1">
      <c r="B42" s="74" t="s">
        <v>263</v>
      </c>
      <c r="C42" s="143" t="s">
        <v>264</v>
      </c>
      <c r="D42" s="143"/>
      <c r="E42" s="143"/>
      <c r="F42" s="143"/>
      <c r="G42" s="143"/>
      <c r="H42" s="143"/>
      <c r="I42" s="143"/>
    </row>
    <row r="43" spans="2:9" ht="19.5" customHeight="1">
      <c r="B43" s="73" t="s">
        <v>265</v>
      </c>
      <c r="C43" s="142" t="s">
        <v>266</v>
      </c>
      <c r="D43" s="142"/>
      <c r="E43" s="142"/>
      <c r="F43" s="142"/>
      <c r="G43" s="142"/>
      <c r="H43" s="142"/>
      <c r="I43" s="142"/>
    </row>
    <row r="44" spans="2:9" ht="19.5" customHeight="1">
      <c r="B44" s="74" t="s">
        <v>267</v>
      </c>
      <c r="C44" s="143" t="s">
        <v>268</v>
      </c>
      <c r="D44" s="143"/>
      <c r="E44" s="143"/>
      <c r="F44" s="143"/>
      <c r="G44" s="143"/>
      <c r="H44" s="143"/>
      <c r="I44" s="143"/>
    </row>
    <row r="45" spans="2:9" ht="19.5" customHeight="1">
      <c r="B45" s="73" t="s">
        <v>269</v>
      </c>
      <c r="C45" s="142" t="s">
        <v>270</v>
      </c>
      <c r="D45" s="142"/>
      <c r="E45" s="142"/>
      <c r="F45" s="142"/>
      <c r="G45" s="142"/>
      <c r="H45" s="142"/>
      <c r="I45" s="142"/>
    </row>
    <row r="46" spans="2:9" ht="19.5" customHeight="1">
      <c r="B46" s="74" t="s">
        <v>271</v>
      </c>
      <c r="C46" s="143" t="s">
        <v>272</v>
      </c>
      <c r="D46" s="143"/>
      <c r="E46" s="143"/>
      <c r="F46" s="143"/>
      <c r="G46" s="143"/>
      <c r="H46" s="143"/>
      <c r="I46" s="143"/>
    </row>
    <row r="47" spans="2:9" ht="19.5" customHeight="1">
      <c r="B47" s="73" t="s">
        <v>273</v>
      </c>
      <c r="C47" s="142" t="s">
        <v>274</v>
      </c>
      <c r="D47" s="142"/>
      <c r="E47" s="142"/>
      <c r="F47" s="142"/>
      <c r="G47" s="142"/>
      <c r="H47" s="142"/>
      <c r="I47" s="142"/>
    </row>
    <row r="48" spans="2: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sheetData>
  <sheetProtection password="CBB8" sheet="1" objects="1" scenarios="1" formatCells="0" formatColumns="0" formatRows="0" insertColumns="0" insertRows="0" deleteColumns="0" deleteRows="0" sort="0" autoFilter="0"/>
  <mergeCells count="33">
    <mergeCell ref="C1:L1"/>
    <mergeCell ref="C2:L2"/>
    <mergeCell ref="B3:L3"/>
    <mergeCell ref="G4:I4"/>
    <mergeCell ref="B5:E5"/>
    <mergeCell ref="B14:E14"/>
    <mergeCell ref="F14:I14"/>
    <mergeCell ref="F15:I15"/>
    <mergeCell ref="F16:I16"/>
    <mergeCell ref="F17:I17"/>
    <mergeCell ref="F18:I18"/>
    <mergeCell ref="F19:I19"/>
    <mergeCell ref="F21:I21"/>
    <mergeCell ref="B23:E23"/>
    <mergeCell ref="F24:I24"/>
    <mergeCell ref="F25:I25"/>
    <mergeCell ref="F26:I26"/>
    <mergeCell ref="F27:I27"/>
    <mergeCell ref="F28:I28"/>
    <mergeCell ref="F29:I29"/>
    <mergeCell ref="F31:I31"/>
    <mergeCell ref="B33:E33"/>
    <mergeCell ref="F34:I34"/>
    <mergeCell ref="F35:I35"/>
    <mergeCell ref="F36:I36"/>
    <mergeCell ref="C45:I45"/>
    <mergeCell ref="C46:I46"/>
    <mergeCell ref="C47:I47"/>
    <mergeCell ref="B40:I40"/>
    <mergeCell ref="C41:I41"/>
    <mergeCell ref="C42:I42"/>
    <mergeCell ref="C43:I43"/>
    <mergeCell ref="C44:I44"/>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3"/>
  <sheetViews>
    <sheetView showGridLines="0" zoomScaleNormal="100" workbookViewId="0">
      <pane xSplit="1" ySplit="4" topLeftCell="B35" activePane="bottomRight" state="frozen"/>
      <selection pane="bottomRight"/>
      <selection pane="bottomLeft" activeCell="A5" sqref="A5"/>
      <selection pane="topRight" activeCell="B1" sqref="B1"/>
    </sheetView>
  </sheetViews>
  <sheetFormatPr defaultColWidth="8.7109375" defaultRowHeight="15"/>
  <cols>
    <col min="1" max="1" width="2" style="1" customWidth="1"/>
    <col min="2" max="2" width="36" style="1" customWidth="1"/>
    <col min="3" max="6" width="13" style="1" customWidth="1"/>
    <col min="7" max="7" width="14" style="1" customWidth="1"/>
    <col min="8" max="8" width="3" style="1" customWidth="1"/>
    <col min="9" max="9" width="36" style="1" customWidth="1"/>
    <col min="10" max="13" width="13" style="1" customWidth="1"/>
    <col min="14" max="14" width="14" style="1" customWidth="1"/>
  </cols>
  <sheetData>
    <row r="1" spans="1:21" ht="90" customHeight="1">
      <c r="A1" s="8"/>
      <c r="B1" s="8"/>
      <c r="C1" s="132" t="str">
        <f>FamilyName&amp;" Group — Annual Household Budget"</f>
        <v>Le Group — Annual Household Budget</v>
      </c>
      <c r="D1" s="132"/>
      <c r="E1" s="132"/>
      <c r="F1" s="132"/>
      <c r="G1" s="132"/>
      <c r="H1" s="132"/>
      <c r="I1" s="132"/>
      <c r="J1" s="132"/>
      <c r="K1" s="132"/>
      <c r="L1" s="132"/>
      <c r="M1" s="132"/>
      <c r="N1" s="132"/>
      <c r="O1" s="132"/>
      <c r="P1" s="132"/>
      <c r="Q1" s="132"/>
      <c r="R1" s="8"/>
      <c r="S1" s="8"/>
      <c r="T1" s="8"/>
      <c r="U1" s="9"/>
    </row>
    <row r="2" spans="1:21" ht="18" customHeight="1">
      <c r="A2" s="10"/>
      <c r="B2" s="10"/>
      <c r="C2" s="133" t="str">
        <f>"FY "&amp;FYYear&amp;"  ·  Baobab Consulting  ·  Confidential"</f>
        <v>FY 2025-26  ·  Baobab Consulting  ·  Confidential</v>
      </c>
      <c r="D2" s="133"/>
      <c r="E2" s="133"/>
      <c r="F2" s="133"/>
      <c r="G2" s="133"/>
      <c r="H2" s="133"/>
      <c r="I2" s="133"/>
      <c r="J2" s="133"/>
      <c r="K2" s="133"/>
      <c r="L2" s="133"/>
      <c r="M2" s="133"/>
      <c r="N2" s="133"/>
      <c r="O2" s="133"/>
      <c r="P2" s="133"/>
      <c r="Q2" s="133"/>
      <c r="R2" s="10"/>
      <c r="S2" s="10"/>
      <c r="T2" s="10"/>
      <c r="U2" s="9"/>
    </row>
    <row r="3" spans="1:21" ht="13.5" customHeight="1">
      <c r="A3" s="11"/>
      <c r="B3" s="134" t="s">
        <v>1</v>
      </c>
      <c r="C3" s="134"/>
      <c r="D3" s="134"/>
      <c r="E3" s="134"/>
      <c r="F3" s="134"/>
      <c r="G3" s="134"/>
      <c r="H3" s="134"/>
      <c r="I3" s="134"/>
      <c r="J3" s="134"/>
      <c r="K3" s="134"/>
      <c r="L3" s="134"/>
      <c r="M3" s="134"/>
      <c r="N3" s="134"/>
      <c r="O3" s="134"/>
      <c r="P3" s="134"/>
      <c r="Q3" s="134"/>
      <c r="R3" s="11"/>
      <c r="S3" s="11"/>
      <c r="T3" s="11"/>
      <c r="U3" s="9"/>
    </row>
    <row r="4" spans="1:21" ht="36" customHeight="1">
      <c r="B4" s="116" t="s">
        <v>275</v>
      </c>
      <c r="C4" s="75" t="s">
        <v>276</v>
      </c>
      <c r="D4" s="75" t="s">
        <v>277</v>
      </c>
      <c r="E4" s="75" t="s">
        <v>278</v>
      </c>
      <c r="F4" s="75" t="s">
        <v>279</v>
      </c>
      <c r="G4" s="76" t="s">
        <v>280</v>
      </c>
      <c r="I4" s="116" t="s">
        <v>275</v>
      </c>
      <c r="J4" s="75" t="s">
        <v>276</v>
      </c>
      <c r="K4" s="75" t="s">
        <v>277</v>
      </c>
      <c r="L4" s="75" t="s">
        <v>278</v>
      </c>
      <c r="M4" s="75" t="s">
        <v>279</v>
      </c>
      <c r="N4" s="76" t="s">
        <v>280</v>
      </c>
    </row>
    <row r="5" spans="1:21" ht="21.75" customHeight="1">
      <c r="B5" s="128" t="s">
        <v>281</v>
      </c>
      <c r="C5" s="128"/>
      <c r="D5" s="128"/>
      <c r="E5" s="128"/>
      <c r="F5" s="128"/>
      <c r="G5" s="128"/>
      <c r="I5" s="128" t="s">
        <v>282</v>
      </c>
      <c r="J5" s="128"/>
      <c r="K5" s="128"/>
      <c r="L5" s="128"/>
      <c r="M5" s="128"/>
      <c r="N5" s="128"/>
    </row>
    <row r="6" spans="1:21" ht="18" customHeight="1">
      <c r="B6" s="22" t="s">
        <v>283</v>
      </c>
      <c r="C6" s="42">
        <v>0</v>
      </c>
      <c r="D6" s="42">
        <v>0</v>
      </c>
      <c r="E6" s="42">
        <v>0</v>
      </c>
      <c r="F6" s="42">
        <v>0</v>
      </c>
      <c r="G6" s="37">
        <f>C6*52+D6*12+E6*4+F6</f>
        <v>0</v>
      </c>
      <c r="I6" s="15" t="s">
        <v>284</v>
      </c>
      <c r="J6" s="42">
        <v>0</v>
      </c>
      <c r="K6" s="42">
        <v>0</v>
      </c>
      <c r="L6" s="42">
        <v>0</v>
      </c>
      <c r="M6" s="42">
        <v>0</v>
      </c>
      <c r="N6" s="37">
        <f>J6*52+K6*12+L6*4+M6</f>
        <v>0</v>
      </c>
    </row>
    <row r="7" spans="1:21" ht="18" customHeight="1">
      <c r="B7" s="18" t="s">
        <v>285</v>
      </c>
      <c r="C7" s="42">
        <v>0</v>
      </c>
      <c r="D7" s="42">
        <v>0</v>
      </c>
      <c r="E7" s="42">
        <v>0</v>
      </c>
      <c r="F7" s="42">
        <v>0</v>
      </c>
      <c r="G7" s="37">
        <f>C7*52+D7*12+E7*4+F7</f>
        <v>0</v>
      </c>
      <c r="I7" s="18" t="s">
        <v>286</v>
      </c>
      <c r="J7" s="42">
        <v>0</v>
      </c>
      <c r="K7" s="42">
        <v>0</v>
      </c>
      <c r="L7" s="42">
        <v>0</v>
      </c>
      <c r="M7" s="42">
        <v>0</v>
      </c>
      <c r="N7" s="37">
        <f>J7*52+K7*12+L7*4+M7</f>
        <v>0</v>
      </c>
    </row>
    <row r="8" spans="1:21" ht="18" customHeight="1">
      <c r="B8" s="15" t="s">
        <v>287</v>
      </c>
      <c r="C8" s="42">
        <v>0</v>
      </c>
      <c r="D8" s="42">
        <v>0</v>
      </c>
      <c r="E8" s="42">
        <v>0</v>
      </c>
      <c r="F8" s="42">
        <v>0</v>
      </c>
      <c r="G8" s="37">
        <f>C8*52+D8*12+E8*4+F8</f>
        <v>0</v>
      </c>
      <c r="I8" s="15" t="s">
        <v>288</v>
      </c>
      <c r="J8" s="42">
        <v>0</v>
      </c>
      <c r="K8" s="42">
        <v>0</v>
      </c>
      <c r="L8" s="42">
        <v>0</v>
      </c>
      <c r="M8" s="42">
        <v>0</v>
      </c>
      <c r="N8" s="37">
        <f>J8*52+K8*12+L8*4+M8</f>
        <v>0</v>
      </c>
    </row>
    <row r="9" spans="1:21" ht="18" customHeight="1">
      <c r="B9" s="50" t="s">
        <v>289</v>
      </c>
      <c r="C9" s="41"/>
      <c r="D9" s="41"/>
      <c r="E9" s="41"/>
      <c r="F9" s="41"/>
      <c r="G9" s="41">
        <f>SUM(G6:G8)</f>
        <v>0</v>
      </c>
      <c r="I9" s="18" t="s">
        <v>290</v>
      </c>
      <c r="J9" s="42">
        <v>0</v>
      </c>
      <c r="K9" s="42">
        <v>0</v>
      </c>
      <c r="L9" s="42">
        <v>0</v>
      </c>
      <c r="M9" s="42">
        <v>0</v>
      </c>
      <c r="N9" s="37">
        <f>J9*52+K9*12+L9*4+M9</f>
        <v>0</v>
      </c>
    </row>
    <row r="10" spans="1:21" ht="21.75" customHeight="1">
      <c r="B10" s="128" t="s">
        <v>291</v>
      </c>
      <c r="C10" s="128"/>
      <c r="D10" s="128"/>
      <c r="E10" s="128"/>
      <c r="F10" s="128"/>
      <c r="G10" s="128"/>
      <c r="I10" s="15" t="s">
        <v>292</v>
      </c>
      <c r="J10" s="42">
        <v>0</v>
      </c>
      <c r="K10" s="42">
        <v>0</v>
      </c>
      <c r="L10" s="42">
        <v>0</v>
      </c>
      <c r="M10" s="42">
        <v>0</v>
      </c>
      <c r="N10" s="37">
        <f>J10*52+K10*12+L10*4+M10</f>
        <v>0</v>
      </c>
    </row>
    <row r="11" spans="1:21" ht="18" customHeight="1">
      <c r="B11" s="18" t="s">
        <v>293</v>
      </c>
      <c r="C11" s="42">
        <v>0</v>
      </c>
      <c r="D11" s="42">
        <v>0</v>
      </c>
      <c r="E11" s="42">
        <v>0</v>
      </c>
      <c r="F11" s="42">
        <v>0</v>
      </c>
      <c r="G11" s="37">
        <f>C11*52+D11*12+E11*4+F11</f>
        <v>0</v>
      </c>
      <c r="I11" s="18" t="s">
        <v>294</v>
      </c>
      <c r="J11" s="42">
        <v>0</v>
      </c>
      <c r="K11" s="42">
        <v>0</v>
      </c>
      <c r="L11" s="42">
        <v>0</v>
      </c>
      <c r="M11" s="42">
        <v>0</v>
      </c>
      <c r="N11" s="37">
        <f>J11*52+K11*12+L11*4+M11</f>
        <v>0</v>
      </c>
    </row>
    <row r="12" spans="1:21" ht="18" customHeight="1">
      <c r="B12" s="15" t="s">
        <v>295</v>
      </c>
      <c r="C12" s="42">
        <v>0</v>
      </c>
      <c r="D12" s="42">
        <v>0</v>
      </c>
      <c r="E12" s="42">
        <v>0</v>
      </c>
      <c r="F12" s="42">
        <v>0</v>
      </c>
      <c r="G12" s="37">
        <f>C12*52+D12*12+E12*4+F12</f>
        <v>0</v>
      </c>
      <c r="I12" s="15" t="s">
        <v>296</v>
      </c>
      <c r="J12" s="42">
        <v>0</v>
      </c>
      <c r="K12" s="42">
        <v>0</v>
      </c>
      <c r="L12" s="42">
        <v>0</v>
      </c>
      <c r="M12" s="42">
        <v>0</v>
      </c>
      <c r="N12" s="37">
        <f>J12*52+K12*12+L12*4+M12</f>
        <v>0</v>
      </c>
    </row>
    <row r="13" spans="1:21" ht="18" customHeight="1">
      <c r="B13" s="18" t="s">
        <v>297</v>
      </c>
      <c r="C13" s="42">
        <v>0</v>
      </c>
      <c r="D13" s="42">
        <v>0</v>
      </c>
      <c r="E13" s="42">
        <v>0</v>
      </c>
      <c r="F13" s="42">
        <v>0</v>
      </c>
      <c r="G13" s="37">
        <f>C13*52+D13*12+E13*4+F13</f>
        <v>0</v>
      </c>
      <c r="I13" s="119" t="s">
        <v>298</v>
      </c>
      <c r="J13" s="41"/>
      <c r="K13" s="41"/>
      <c r="L13" s="41"/>
      <c r="M13" s="41"/>
      <c r="N13" s="41">
        <f>SUM(N6:N12)</f>
        <v>0</v>
      </c>
    </row>
    <row r="14" spans="1:21" ht="18" customHeight="1">
      <c r="B14" s="15" t="s">
        <v>299</v>
      </c>
      <c r="C14" s="42">
        <v>0</v>
      </c>
      <c r="D14" s="42">
        <v>0</v>
      </c>
      <c r="E14" s="42">
        <v>0</v>
      </c>
      <c r="F14" s="42">
        <v>0</v>
      </c>
      <c r="G14" s="37">
        <f>C14*52+D14*12+E14*4+F14</f>
        <v>0</v>
      </c>
      <c r="I14" s="128" t="s">
        <v>300</v>
      </c>
      <c r="J14" s="128"/>
      <c r="K14" s="128"/>
      <c r="L14" s="128"/>
      <c r="M14" s="128"/>
      <c r="N14" s="128"/>
    </row>
    <row r="15" spans="1:21" ht="18" customHeight="1">
      <c r="B15" s="18" t="s">
        <v>301</v>
      </c>
      <c r="C15" s="42">
        <v>0</v>
      </c>
      <c r="D15" s="42">
        <v>0</v>
      </c>
      <c r="E15" s="42">
        <v>0</v>
      </c>
      <c r="F15" s="42">
        <v>0</v>
      </c>
      <c r="G15" s="37">
        <f>C15*52+D15*12+E15*4+F15</f>
        <v>0</v>
      </c>
      <c r="I15" s="18" t="s">
        <v>284</v>
      </c>
      <c r="J15" s="42">
        <v>0</v>
      </c>
      <c r="K15" s="42">
        <v>0</v>
      </c>
      <c r="L15" s="42">
        <v>0</v>
      </c>
      <c r="M15" s="42">
        <v>0</v>
      </c>
      <c r="N15" s="37">
        <f>J15*52+K15*12+L15*4+M15</f>
        <v>0</v>
      </c>
    </row>
    <row r="16" spans="1:21" ht="18" customHeight="1">
      <c r="B16" s="15" t="s">
        <v>302</v>
      </c>
      <c r="C16" s="42">
        <v>0</v>
      </c>
      <c r="D16" s="42">
        <v>0</v>
      </c>
      <c r="E16" s="42">
        <v>0</v>
      </c>
      <c r="F16" s="42">
        <v>0</v>
      </c>
      <c r="G16" s="37">
        <f>C16*52+D16*12+E16*4+F16</f>
        <v>0</v>
      </c>
      <c r="I16" s="15" t="s">
        <v>286</v>
      </c>
      <c r="J16" s="42">
        <v>0</v>
      </c>
      <c r="K16" s="42">
        <v>0</v>
      </c>
      <c r="L16" s="42">
        <v>0</v>
      </c>
      <c r="M16" s="42">
        <v>0</v>
      </c>
      <c r="N16" s="37">
        <f>J16*52+K16*12+L16*4+M16</f>
        <v>0</v>
      </c>
    </row>
    <row r="17" spans="2:14" ht="18" customHeight="1">
      <c r="B17" s="39" t="s">
        <v>303</v>
      </c>
      <c r="C17" s="42">
        <v>0</v>
      </c>
      <c r="D17" s="42">
        <v>0</v>
      </c>
      <c r="E17" s="42">
        <v>0</v>
      </c>
      <c r="F17" s="42">
        <v>0</v>
      </c>
      <c r="G17" s="37">
        <f>C17*52+D17*12+E17*4+F17</f>
        <v>0</v>
      </c>
      <c r="I17" s="18" t="s">
        <v>288</v>
      </c>
      <c r="J17" s="42">
        <v>0</v>
      </c>
      <c r="K17" s="42">
        <v>0</v>
      </c>
      <c r="L17" s="42">
        <v>0</v>
      </c>
      <c r="M17" s="42">
        <v>0</v>
      </c>
      <c r="N17" s="37">
        <f>J17*52+K17*12+L17*4+M17</f>
        <v>0</v>
      </c>
    </row>
    <row r="18" spans="2:14" ht="18" customHeight="1">
      <c r="B18" s="22" t="s">
        <v>304</v>
      </c>
      <c r="C18" s="42">
        <v>0</v>
      </c>
      <c r="D18" s="42">
        <v>0</v>
      </c>
      <c r="E18" s="42">
        <v>0</v>
      </c>
      <c r="F18" s="42">
        <v>0</v>
      </c>
      <c r="G18" s="37">
        <f>C18*52+D18*12+E18*4+F18</f>
        <v>0</v>
      </c>
      <c r="I18" s="15" t="s">
        <v>290</v>
      </c>
      <c r="J18" s="42">
        <v>0</v>
      </c>
      <c r="K18" s="42">
        <v>0</v>
      </c>
      <c r="L18" s="42">
        <v>0</v>
      </c>
      <c r="M18" s="42">
        <v>0</v>
      </c>
      <c r="N18" s="37">
        <f>J18*52+K18*12+L18*4+M18</f>
        <v>0</v>
      </c>
    </row>
    <row r="19" spans="2:14" ht="18" customHeight="1">
      <c r="B19" s="50" t="s">
        <v>305</v>
      </c>
      <c r="C19" s="41"/>
      <c r="D19" s="41"/>
      <c r="E19" s="41"/>
      <c r="F19" s="41"/>
      <c r="G19" s="41">
        <f>SUM(G11:G18)</f>
        <v>0</v>
      </c>
      <c r="I19" s="18" t="s">
        <v>292</v>
      </c>
      <c r="J19" s="42">
        <v>0</v>
      </c>
      <c r="K19" s="42">
        <v>0</v>
      </c>
      <c r="L19" s="42">
        <v>0</v>
      </c>
      <c r="M19" s="42">
        <v>0</v>
      </c>
      <c r="N19" s="37">
        <f>J19*52+K19*12+L19*4+M19</f>
        <v>0</v>
      </c>
    </row>
    <row r="20" spans="2:14" ht="21.75" customHeight="1">
      <c r="B20" s="128" t="s">
        <v>306</v>
      </c>
      <c r="C20" s="128"/>
      <c r="D20" s="128"/>
      <c r="E20" s="128"/>
      <c r="F20" s="128"/>
      <c r="G20" s="128"/>
      <c r="I20" s="15" t="s">
        <v>294</v>
      </c>
      <c r="J20" s="42">
        <v>0</v>
      </c>
      <c r="K20" s="42">
        <v>0</v>
      </c>
      <c r="L20" s="42">
        <v>0</v>
      </c>
      <c r="M20" s="42">
        <v>0</v>
      </c>
      <c r="N20" s="37">
        <f>J20*52+K20*12+L20*4+M20</f>
        <v>0</v>
      </c>
    </row>
    <row r="21" spans="2:14" ht="18" customHeight="1">
      <c r="B21" s="18" t="s">
        <v>307</v>
      </c>
      <c r="C21" s="42">
        <v>0</v>
      </c>
      <c r="D21" s="42">
        <v>0</v>
      </c>
      <c r="E21" s="42">
        <v>0</v>
      </c>
      <c r="F21" s="42">
        <v>0</v>
      </c>
      <c r="G21" s="37">
        <f>C21*52+D21*12+E21*4+F21</f>
        <v>0</v>
      </c>
      <c r="I21" s="18" t="s">
        <v>296</v>
      </c>
      <c r="J21" s="42">
        <v>0</v>
      </c>
      <c r="K21" s="42">
        <v>0</v>
      </c>
      <c r="L21" s="42">
        <v>0</v>
      </c>
      <c r="M21" s="42">
        <v>0</v>
      </c>
      <c r="N21" s="37">
        <f>J21*52+K21*12+L21*4+M21</f>
        <v>0</v>
      </c>
    </row>
    <row r="22" spans="2:14" ht="18" customHeight="1">
      <c r="B22" s="15" t="s">
        <v>308</v>
      </c>
      <c r="C22" s="42">
        <v>0</v>
      </c>
      <c r="D22" s="42">
        <v>0</v>
      </c>
      <c r="E22" s="42">
        <v>0</v>
      </c>
      <c r="F22" s="42">
        <v>0</v>
      </c>
      <c r="G22" s="37">
        <f>C22*52+D22*12+E22*4+F22</f>
        <v>0</v>
      </c>
      <c r="I22" s="119" t="s">
        <v>309</v>
      </c>
      <c r="J22" s="41"/>
      <c r="K22" s="41"/>
      <c r="L22" s="41"/>
      <c r="M22" s="41"/>
      <c r="N22" s="41">
        <f>SUM(N15:N21)</f>
        <v>0</v>
      </c>
    </row>
    <row r="23" spans="2:14" ht="18" customHeight="1">
      <c r="B23" s="50" t="s">
        <v>310</v>
      </c>
      <c r="C23" s="41"/>
      <c r="D23" s="41"/>
      <c r="E23" s="41"/>
      <c r="F23" s="41"/>
      <c r="G23" s="41">
        <f>SUM(G21:G22)</f>
        <v>0</v>
      </c>
      <c r="I23" s="128" t="s">
        <v>311</v>
      </c>
      <c r="J23" s="128"/>
      <c r="K23" s="128"/>
      <c r="L23" s="128"/>
      <c r="M23" s="128"/>
      <c r="N23" s="128"/>
    </row>
    <row r="24" spans="2:14" ht="21.75" customHeight="1">
      <c r="B24" s="128" t="s">
        <v>312</v>
      </c>
      <c r="C24" s="128"/>
      <c r="D24" s="128"/>
      <c r="E24" s="128"/>
      <c r="F24" s="128"/>
      <c r="G24" s="128"/>
      <c r="I24" s="15" t="s">
        <v>313</v>
      </c>
      <c r="J24" s="42">
        <v>0</v>
      </c>
      <c r="K24" s="42">
        <v>0</v>
      </c>
      <c r="L24" s="42">
        <v>0</v>
      </c>
      <c r="M24" s="42">
        <v>0</v>
      </c>
      <c r="N24" s="37">
        <f>J24*52+K24*12+L24*4+M24</f>
        <v>0</v>
      </c>
    </row>
    <row r="25" spans="2:14" ht="18" customHeight="1">
      <c r="B25" s="18" t="s">
        <v>314</v>
      </c>
      <c r="C25" s="42">
        <v>0</v>
      </c>
      <c r="D25" s="42">
        <v>0</v>
      </c>
      <c r="E25" s="42">
        <v>0</v>
      </c>
      <c r="F25" s="42">
        <v>0</v>
      </c>
      <c r="G25" s="37">
        <f>C25*52+D25*12+E25*4+F25</f>
        <v>0</v>
      </c>
      <c r="I25" s="18" t="s">
        <v>315</v>
      </c>
      <c r="J25" s="42">
        <v>0</v>
      </c>
      <c r="K25" s="42">
        <v>0</v>
      </c>
      <c r="L25" s="42">
        <v>0</v>
      </c>
      <c r="M25" s="42">
        <v>0</v>
      </c>
      <c r="N25" s="37">
        <f>J25*52+K25*12+L25*4+M25</f>
        <v>0</v>
      </c>
    </row>
    <row r="26" spans="2:14" ht="18" customHeight="1">
      <c r="B26" s="15" t="s">
        <v>316</v>
      </c>
      <c r="C26" s="42">
        <v>0</v>
      </c>
      <c r="D26" s="42">
        <v>0</v>
      </c>
      <c r="E26" s="42">
        <v>0</v>
      </c>
      <c r="F26" s="42">
        <v>0</v>
      </c>
      <c r="G26" s="37">
        <f>C26*52+D26*12+E26*4+F26</f>
        <v>0</v>
      </c>
      <c r="I26" s="15" t="s">
        <v>317</v>
      </c>
      <c r="J26" s="42">
        <v>0</v>
      </c>
      <c r="K26" s="42">
        <v>0</v>
      </c>
      <c r="L26" s="42">
        <v>0</v>
      </c>
      <c r="M26" s="42">
        <v>0</v>
      </c>
      <c r="N26" s="37">
        <f>J26*52+K26*12+L26*4+M26</f>
        <v>0</v>
      </c>
    </row>
    <row r="27" spans="2:14" ht="18" customHeight="1">
      <c r="B27" s="18" t="s">
        <v>318</v>
      </c>
      <c r="C27" s="42">
        <v>0</v>
      </c>
      <c r="D27" s="42">
        <v>0</v>
      </c>
      <c r="E27" s="42">
        <v>0</v>
      </c>
      <c r="F27" s="42">
        <v>0</v>
      </c>
      <c r="G27" s="37">
        <f>C27*52+D27*12+E27*4+F27</f>
        <v>0</v>
      </c>
      <c r="I27" s="18" t="s">
        <v>319</v>
      </c>
      <c r="J27" s="42">
        <v>0</v>
      </c>
      <c r="K27" s="42">
        <v>0</v>
      </c>
      <c r="L27" s="42">
        <v>0</v>
      </c>
      <c r="M27" s="42">
        <v>0</v>
      </c>
      <c r="N27" s="37">
        <f>J27*52+K27*12+L27*4+M27</f>
        <v>0</v>
      </c>
    </row>
    <row r="28" spans="2:14" ht="18" customHeight="1">
      <c r="B28" s="15" t="s">
        <v>320</v>
      </c>
      <c r="C28" s="42">
        <v>0</v>
      </c>
      <c r="D28" s="42">
        <v>0</v>
      </c>
      <c r="E28" s="42">
        <v>0</v>
      </c>
      <c r="F28" s="42">
        <v>0</v>
      </c>
      <c r="G28" s="37">
        <f>C28*52+D28*12+E28*4+F28</f>
        <v>0</v>
      </c>
      <c r="I28" s="15" t="s">
        <v>321</v>
      </c>
      <c r="J28" s="42">
        <v>0</v>
      </c>
      <c r="K28" s="42">
        <v>0</v>
      </c>
      <c r="L28" s="42">
        <v>0</v>
      </c>
      <c r="M28" s="42">
        <v>0</v>
      </c>
      <c r="N28" s="37">
        <f>J28*52+K28*12+L28*4+M28</f>
        <v>0</v>
      </c>
    </row>
    <row r="29" spans="2:14" ht="18" customHeight="1">
      <c r="B29" s="50" t="s">
        <v>322</v>
      </c>
      <c r="C29" s="41"/>
      <c r="D29" s="41"/>
      <c r="E29" s="41"/>
      <c r="F29" s="41"/>
      <c r="G29" s="41">
        <f>SUM(G25:G28)</f>
        <v>0</v>
      </c>
      <c r="I29" s="18" t="s">
        <v>323</v>
      </c>
      <c r="J29" s="42">
        <v>0</v>
      </c>
      <c r="K29" s="42">
        <v>0</v>
      </c>
      <c r="L29" s="42">
        <v>0</v>
      </c>
      <c r="M29" s="42">
        <v>0</v>
      </c>
      <c r="N29" s="37">
        <f>J29*52+K29*12+L29*4+M29</f>
        <v>0</v>
      </c>
    </row>
    <row r="30" spans="2:14" ht="21.75" customHeight="1">
      <c r="B30" s="128" t="s">
        <v>324</v>
      </c>
      <c r="C30" s="128"/>
      <c r="D30" s="128"/>
      <c r="E30" s="128"/>
      <c r="F30" s="128"/>
      <c r="G30" s="128"/>
      <c r="I30" s="15" t="s">
        <v>325</v>
      </c>
      <c r="J30" s="42">
        <v>0</v>
      </c>
      <c r="K30" s="42">
        <v>0</v>
      </c>
      <c r="L30" s="42">
        <v>0</v>
      </c>
      <c r="M30" s="42">
        <v>0</v>
      </c>
      <c r="N30" s="37">
        <f>J30*52+K30*12+L30*4+M30</f>
        <v>0</v>
      </c>
    </row>
    <row r="31" spans="2:14" ht="18" customHeight="1">
      <c r="B31" s="39" t="s">
        <v>326</v>
      </c>
      <c r="C31" s="42">
        <v>0</v>
      </c>
      <c r="D31" s="42">
        <v>0</v>
      </c>
      <c r="E31" s="42">
        <v>0</v>
      </c>
      <c r="F31" s="42">
        <v>0</v>
      </c>
      <c r="G31" s="37">
        <f>C31*52+D31*12+E31*4+F31</f>
        <v>0</v>
      </c>
      <c r="I31" s="119" t="s">
        <v>327</v>
      </c>
      <c r="J31" s="41"/>
      <c r="K31" s="41"/>
      <c r="L31" s="41"/>
      <c r="M31" s="41"/>
      <c r="N31" s="41">
        <f>SUM(N24:N30)</f>
        <v>0</v>
      </c>
    </row>
    <row r="32" spans="2:14" ht="18" customHeight="1">
      <c r="B32" s="15" t="s">
        <v>328</v>
      </c>
      <c r="C32" s="42">
        <v>0</v>
      </c>
      <c r="D32" s="42">
        <v>0</v>
      </c>
      <c r="E32" s="42">
        <v>0</v>
      </c>
      <c r="F32" s="42">
        <v>0</v>
      </c>
      <c r="G32" s="37">
        <f>C32*52+D32*12+E32*4+F32</f>
        <v>0</v>
      </c>
    </row>
    <row r="33" spans="2:14" ht="18" customHeight="1">
      <c r="B33" s="18" t="s">
        <v>329</v>
      </c>
      <c r="C33" s="42">
        <v>0</v>
      </c>
      <c r="D33" s="42">
        <v>0</v>
      </c>
      <c r="E33" s="42">
        <v>0</v>
      </c>
      <c r="F33" s="42">
        <v>0</v>
      </c>
      <c r="G33" s="37">
        <f>C33*52+D33*12+E33*4+F33</f>
        <v>0</v>
      </c>
      <c r="I33" s="129" t="s">
        <v>330</v>
      </c>
      <c r="J33" s="129"/>
      <c r="K33" s="129"/>
      <c r="L33" s="129"/>
      <c r="M33" s="129"/>
      <c r="N33" s="129"/>
    </row>
    <row r="34" spans="2:14" ht="18" customHeight="1">
      <c r="B34" s="15" t="s">
        <v>331</v>
      </c>
      <c r="C34" s="42">
        <v>0</v>
      </c>
      <c r="D34" s="42">
        <v>0</v>
      </c>
      <c r="E34" s="42">
        <v>0</v>
      </c>
      <c r="F34" s="42">
        <v>0</v>
      </c>
      <c r="G34" s="37">
        <f>C34*52+D34*12+E34*4+F34</f>
        <v>0</v>
      </c>
      <c r="I34" s="119" t="s">
        <v>332</v>
      </c>
      <c r="J34" s="41"/>
      <c r="K34" s="41"/>
      <c r="L34" s="41"/>
      <c r="M34" s="41"/>
      <c r="N34" s="41">
        <f>N13+N22+N31</f>
        <v>0</v>
      </c>
    </row>
    <row r="35" spans="2:14" ht="18" customHeight="1">
      <c r="B35" s="50" t="s">
        <v>333</v>
      </c>
      <c r="C35" s="41"/>
      <c r="D35" s="41"/>
      <c r="E35" s="41"/>
      <c r="F35" s="41"/>
      <c r="G35" s="41">
        <f>SUM(G31:G34)</f>
        <v>0</v>
      </c>
    </row>
    <row r="36" spans="2:14" ht="21.75" customHeight="1">
      <c r="B36" s="128" t="s">
        <v>334</v>
      </c>
      <c r="C36" s="128"/>
      <c r="D36" s="128"/>
      <c r="E36" s="128"/>
      <c r="F36" s="128"/>
      <c r="G36" s="128"/>
    </row>
    <row r="37" spans="2:14" ht="18" customHeight="1">
      <c r="B37" s="18" t="s">
        <v>335</v>
      </c>
      <c r="C37" s="42">
        <v>0</v>
      </c>
      <c r="D37" s="42">
        <v>0</v>
      </c>
      <c r="E37" s="42">
        <v>0</v>
      </c>
      <c r="F37" s="42">
        <v>0</v>
      </c>
      <c r="G37" s="37">
        <f>C37*52+D37*12+E37*4+F37</f>
        <v>0</v>
      </c>
    </row>
    <row r="38" spans="2:14" ht="18" customHeight="1">
      <c r="B38" s="15" t="s">
        <v>336</v>
      </c>
      <c r="C38" s="42">
        <v>0</v>
      </c>
      <c r="D38" s="42">
        <v>0</v>
      </c>
      <c r="E38" s="42">
        <v>0</v>
      </c>
      <c r="F38" s="42">
        <v>0</v>
      </c>
      <c r="G38" s="37">
        <f>C38*52+D38*12+E38*4+F38</f>
        <v>0</v>
      </c>
    </row>
    <row r="39" spans="2:14" ht="18" customHeight="1">
      <c r="B39" s="18" t="s">
        <v>337</v>
      </c>
      <c r="C39" s="42">
        <v>0</v>
      </c>
      <c r="D39" s="42">
        <v>0</v>
      </c>
      <c r="E39" s="42">
        <v>0</v>
      </c>
      <c r="F39" s="42">
        <v>0</v>
      </c>
      <c r="G39" s="37">
        <f>C39*52+D39*12+E39*4+F39</f>
        <v>0</v>
      </c>
    </row>
    <row r="40" spans="2:14" ht="18" customHeight="1">
      <c r="B40" s="15" t="s">
        <v>338</v>
      </c>
      <c r="C40" s="42">
        <v>0</v>
      </c>
      <c r="D40" s="42">
        <v>0</v>
      </c>
      <c r="E40" s="42">
        <v>0</v>
      </c>
      <c r="F40" s="42">
        <v>0</v>
      </c>
      <c r="G40" s="37">
        <f>C40*52+D40*12+E40*4+F40</f>
        <v>0</v>
      </c>
    </row>
    <row r="41" spans="2:14" ht="18" customHeight="1">
      <c r="B41" s="18" t="s">
        <v>339</v>
      </c>
      <c r="C41" s="42">
        <v>0</v>
      </c>
      <c r="D41" s="42">
        <v>0</v>
      </c>
      <c r="E41" s="42">
        <v>0</v>
      </c>
      <c r="F41" s="42">
        <v>0</v>
      </c>
      <c r="G41" s="37">
        <f>C41*52+D41*12+E41*4+F41</f>
        <v>0</v>
      </c>
    </row>
    <row r="42" spans="2:14" ht="18" customHeight="1">
      <c r="B42" s="15" t="s">
        <v>340</v>
      </c>
      <c r="C42" s="42">
        <v>0</v>
      </c>
      <c r="D42" s="42">
        <v>0</v>
      </c>
      <c r="E42" s="42">
        <v>0</v>
      </c>
      <c r="F42" s="42">
        <v>0</v>
      </c>
      <c r="G42" s="37">
        <f>C42*52+D42*12+E42*4+F42</f>
        <v>0</v>
      </c>
    </row>
    <row r="43" spans="2:14" ht="18" customHeight="1">
      <c r="B43" s="119" t="s">
        <v>341</v>
      </c>
      <c r="C43" s="41"/>
      <c r="D43" s="41"/>
      <c r="E43" s="41"/>
      <c r="F43" s="41"/>
      <c r="G43" s="41">
        <f>SUM(G37:G42)</f>
        <v>0</v>
      </c>
    </row>
    <row r="44" spans="2:14" ht="21.75" customHeight="1">
      <c r="B44" s="128" t="s">
        <v>342</v>
      </c>
      <c r="C44" s="128"/>
      <c r="D44" s="128"/>
      <c r="E44" s="128"/>
      <c r="F44" s="128"/>
      <c r="G44" s="128"/>
    </row>
    <row r="45" spans="2:14" ht="18" customHeight="1">
      <c r="B45" s="18" t="s">
        <v>335</v>
      </c>
      <c r="C45" s="42">
        <v>0</v>
      </c>
      <c r="D45" s="42">
        <v>0</v>
      </c>
      <c r="E45" s="42">
        <v>0</v>
      </c>
      <c r="F45" s="42">
        <v>0</v>
      </c>
      <c r="G45" s="37">
        <f>C45*52+D45*12+E45*4+F45</f>
        <v>0</v>
      </c>
    </row>
    <row r="46" spans="2:14" ht="18" customHeight="1">
      <c r="B46" s="15" t="s">
        <v>336</v>
      </c>
      <c r="C46" s="42">
        <v>0</v>
      </c>
      <c r="D46" s="42">
        <v>0</v>
      </c>
      <c r="E46" s="42">
        <v>0</v>
      </c>
      <c r="F46" s="42">
        <v>0</v>
      </c>
      <c r="G46" s="37">
        <f>C46*52+D46*12+E46*4+F46</f>
        <v>0</v>
      </c>
    </row>
    <row r="47" spans="2:14" ht="18" customHeight="1">
      <c r="B47" s="18" t="s">
        <v>337</v>
      </c>
      <c r="C47" s="42">
        <v>0</v>
      </c>
      <c r="D47" s="42">
        <v>0</v>
      </c>
      <c r="E47" s="42">
        <v>0</v>
      </c>
      <c r="F47" s="42">
        <v>0</v>
      </c>
      <c r="G47" s="37">
        <f>C47*52+D47*12+E47*4+F47</f>
        <v>0</v>
      </c>
    </row>
    <row r="48" spans="2:14" ht="18" customHeight="1">
      <c r="B48" s="15" t="s">
        <v>338</v>
      </c>
      <c r="C48" s="42">
        <v>0</v>
      </c>
      <c r="D48" s="42">
        <v>0</v>
      </c>
      <c r="E48" s="42">
        <v>0</v>
      </c>
      <c r="F48" s="42">
        <v>0</v>
      </c>
      <c r="G48" s="37">
        <f>C48*52+D48*12+E48*4+F48</f>
        <v>0</v>
      </c>
    </row>
    <row r="49" spans="2:7" ht="18" customHeight="1">
      <c r="B49" s="18" t="s">
        <v>339</v>
      </c>
      <c r="C49" s="42">
        <v>0</v>
      </c>
      <c r="D49" s="42">
        <v>0</v>
      </c>
      <c r="E49" s="42">
        <v>0</v>
      </c>
      <c r="F49" s="42">
        <v>0</v>
      </c>
      <c r="G49" s="37">
        <f>C49*52+D49*12+E49*4+F49</f>
        <v>0</v>
      </c>
    </row>
    <row r="50" spans="2:7" ht="18" customHeight="1">
      <c r="B50" s="15" t="s">
        <v>340</v>
      </c>
      <c r="C50" s="42">
        <v>0</v>
      </c>
      <c r="D50" s="42">
        <v>0</v>
      </c>
      <c r="E50" s="42">
        <v>0</v>
      </c>
      <c r="F50" s="42">
        <v>0</v>
      </c>
      <c r="G50" s="37">
        <f>C50*52+D50*12+E50*4+F50</f>
        <v>0</v>
      </c>
    </row>
    <row r="51" spans="2:7" ht="18" customHeight="1">
      <c r="B51" s="119" t="s">
        <v>343</v>
      </c>
      <c r="C51" s="41"/>
      <c r="D51" s="41"/>
      <c r="E51" s="41"/>
      <c r="F51" s="41"/>
      <c r="G51" s="41">
        <f>SUM(G45:G50)</f>
        <v>0</v>
      </c>
    </row>
    <row r="52" spans="2:7" ht="21.75" customHeight="1">
      <c r="B52" s="128" t="s">
        <v>344</v>
      </c>
      <c r="C52" s="128"/>
      <c r="D52" s="128"/>
      <c r="E52" s="128"/>
      <c r="F52" s="128"/>
      <c r="G52" s="128"/>
    </row>
    <row r="53" spans="2:7" ht="18" customHeight="1">
      <c r="B53" s="18" t="s">
        <v>345</v>
      </c>
      <c r="C53" s="42">
        <v>0</v>
      </c>
      <c r="D53" s="42">
        <v>0</v>
      </c>
      <c r="E53" s="42">
        <v>0</v>
      </c>
      <c r="F53" s="42">
        <v>0</v>
      </c>
      <c r="G53" s="37">
        <f>C53*52+D53*12+E53*4+F53</f>
        <v>0</v>
      </c>
    </row>
    <row r="54" spans="2:7" ht="18" customHeight="1">
      <c r="B54" s="15" t="s">
        <v>346</v>
      </c>
      <c r="C54" s="42">
        <v>0</v>
      </c>
      <c r="D54" s="42">
        <v>0</v>
      </c>
      <c r="E54" s="42">
        <v>0</v>
      </c>
      <c r="F54" s="42">
        <v>0</v>
      </c>
      <c r="G54" s="37">
        <f>C54*52+D54*12+E54*4+F54</f>
        <v>0</v>
      </c>
    </row>
    <row r="55" spans="2:7" ht="18" customHeight="1">
      <c r="B55" s="18" t="s">
        <v>347</v>
      </c>
      <c r="C55" s="42">
        <v>0</v>
      </c>
      <c r="D55" s="42">
        <v>0</v>
      </c>
      <c r="E55" s="42">
        <v>0</v>
      </c>
      <c r="F55" s="42">
        <v>0</v>
      </c>
      <c r="G55" s="37">
        <f>C55*52+D55*12+E55*4+F55</f>
        <v>0</v>
      </c>
    </row>
    <row r="56" spans="2:7" ht="18" customHeight="1">
      <c r="B56" s="50" t="s">
        <v>348</v>
      </c>
      <c r="C56" s="41"/>
      <c r="D56" s="41"/>
      <c r="E56" s="41"/>
      <c r="F56" s="41"/>
      <c r="G56" s="41">
        <f>SUM(G53:G55)</f>
        <v>0</v>
      </c>
    </row>
    <row r="57" spans="2:7" ht="21.75" customHeight="1">
      <c r="B57" s="128" t="s">
        <v>349</v>
      </c>
      <c r="C57" s="128"/>
      <c r="D57" s="128"/>
      <c r="E57" s="128"/>
      <c r="F57" s="128"/>
      <c r="G57" s="128"/>
    </row>
    <row r="58" spans="2:7" ht="18" customHeight="1">
      <c r="B58" s="22" t="s">
        <v>350</v>
      </c>
      <c r="C58" s="42">
        <v>0</v>
      </c>
      <c r="D58" s="42">
        <v>0</v>
      </c>
      <c r="E58" s="42">
        <v>0</v>
      </c>
      <c r="F58" s="42">
        <v>0</v>
      </c>
      <c r="G58" s="37">
        <f>C58*52+D58*12+E58*4+F58</f>
        <v>0</v>
      </c>
    </row>
    <row r="59" spans="2:7" ht="18" customHeight="1">
      <c r="B59" s="39" t="s">
        <v>351</v>
      </c>
      <c r="C59" s="42">
        <v>0</v>
      </c>
      <c r="D59" s="42">
        <v>0</v>
      </c>
      <c r="E59" s="42">
        <v>0</v>
      </c>
      <c r="F59" s="42">
        <v>0</v>
      </c>
      <c r="G59" s="37">
        <f>C59*52+D59*12+E59*4+F59</f>
        <v>0</v>
      </c>
    </row>
    <row r="60" spans="2:7" ht="18" customHeight="1">
      <c r="B60" s="15" t="s">
        <v>352</v>
      </c>
      <c r="C60" s="42">
        <v>0</v>
      </c>
      <c r="D60" s="42">
        <v>0</v>
      </c>
      <c r="E60" s="42">
        <v>0</v>
      </c>
      <c r="F60" s="42">
        <v>0</v>
      </c>
      <c r="G60" s="37">
        <f>C60*52+D60*12+E60*4+F60</f>
        <v>0</v>
      </c>
    </row>
    <row r="61" spans="2:7" ht="18" customHeight="1">
      <c r="B61" s="18" t="s">
        <v>353</v>
      </c>
      <c r="C61" s="42">
        <v>0</v>
      </c>
      <c r="D61" s="42">
        <v>0</v>
      </c>
      <c r="E61" s="42">
        <v>0</v>
      </c>
      <c r="F61" s="42">
        <v>0</v>
      </c>
      <c r="G61" s="37">
        <f>C61*52+D61*12+E61*4+F61</f>
        <v>0</v>
      </c>
    </row>
    <row r="62" spans="2:7" ht="18" customHeight="1">
      <c r="B62" s="15" t="s">
        <v>354</v>
      </c>
      <c r="C62" s="42">
        <v>0</v>
      </c>
      <c r="D62" s="42">
        <v>0</v>
      </c>
      <c r="E62" s="42">
        <v>0</v>
      </c>
      <c r="F62" s="42">
        <v>0</v>
      </c>
      <c r="G62" s="37">
        <f>C62*52+D62*12+E62*4+F62</f>
        <v>0</v>
      </c>
    </row>
    <row r="63" spans="2:7" ht="18" customHeight="1">
      <c r="B63" s="39" t="s">
        <v>355</v>
      </c>
      <c r="C63" s="42">
        <v>0</v>
      </c>
      <c r="D63" s="42">
        <v>0</v>
      </c>
      <c r="E63" s="42">
        <v>0</v>
      </c>
      <c r="F63" s="42">
        <v>0</v>
      </c>
      <c r="G63" s="37">
        <f>C63*52+D63*12+E63*4+F63</f>
        <v>0</v>
      </c>
    </row>
    <row r="64" spans="2:7" ht="18" customHeight="1">
      <c r="B64" s="22" t="s">
        <v>356</v>
      </c>
      <c r="C64" s="42">
        <v>0</v>
      </c>
      <c r="D64" s="42">
        <v>0</v>
      </c>
      <c r="E64" s="42">
        <v>0</v>
      </c>
      <c r="F64" s="42">
        <v>0</v>
      </c>
      <c r="G64" s="37">
        <f>C64*52+D64*12+E64*4+F64</f>
        <v>0</v>
      </c>
    </row>
    <row r="65" spans="2:7" ht="18" customHeight="1">
      <c r="B65" s="50" t="s">
        <v>357</v>
      </c>
      <c r="C65" s="41"/>
      <c r="D65" s="41"/>
      <c r="E65" s="41"/>
      <c r="F65" s="41"/>
      <c r="G65" s="41">
        <f>SUM(G58:G64)</f>
        <v>0</v>
      </c>
    </row>
    <row r="66" spans="2:7" ht="21.75" customHeight="1">
      <c r="B66" s="128" t="s">
        <v>358</v>
      </c>
      <c r="C66" s="128"/>
      <c r="D66" s="128"/>
      <c r="E66" s="128"/>
      <c r="F66" s="128"/>
      <c r="G66" s="128"/>
    </row>
    <row r="67" spans="2:7" ht="18" customHeight="1">
      <c r="B67" s="18" t="s">
        <v>359</v>
      </c>
      <c r="C67" s="42">
        <v>0</v>
      </c>
      <c r="D67" s="42">
        <v>0</v>
      </c>
      <c r="E67" s="42">
        <v>0</v>
      </c>
      <c r="F67" s="42">
        <v>0</v>
      </c>
      <c r="G67" s="37">
        <f>C67*52+D67*12+E67*4+F67</f>
        <v>0</v>
      </c>
    </row>
    <row r="68" spans="2:7" ht="18" customHeight="1">
      <c r="B68" s="15" t="s">
        <v>360</v>
      </c>
      <c r="C68" s="42">
        <v>0</v>
      </c>
      <c r="D68" s="42">
        <v>0</v>
      </c>
      <c r="E68" s="42">
        <v>0</v>
      </c>
      <c r="F68" s="42">
        <v>0</v>
      </c>
      <c r="G68" s="37">
        <f>C68*52+D68*12+E68*4+F68</f>
        <v>0</v>
      </c>
    </row>
    <row r="69" spans="2:7" ht="18" customHeight="1">
      <c r="B69" s="39" t="s">
        <v>361</v>
      </c>
      <c r="C69" s="42">
        <v>0</v>
      </c>
      <c r="D69" s="42">
        <v>0</v>
      </c>
      <c r="E69" s="42">
        <v>0</v>
      </c>
      <c r="F69" s="42">
        <v>0</v>
      </c>
      <c r="G69" s="37">
        <f>C69*52+D69*12+E69*4+F69</f>
        <v>0</v>
      </c>
    </row>
    <row r="70" spans="2:7" ht="18" customHeight="1">
      <c r="B70" s="15" t="s">
        <v>362</v>
      </c>
      <c r="C70" s="42">
        <v>0</v>
      </c>
      <c r="D70" s="42">
        <v>0</v>
      </c>
      <c r="E70" s="42">
        <v>0</v>
      </c>
      <c r="F70" s="42">
        <v>0</v>
      </c>
      <c r="G70" s="37">
        <f>C70*52+D70*12+E70*4+F70</f>
        <v>0</v>
      </c>
    </row>
    <row r="71" spans="2:7" ht="18" customHeight="1">
      <c r="B71" s="18" t="s">
        <v>363</v>
      </c>
      <c r="C71" s="42">
        <v>0</v>
      </c>
      <c r="D71" s="42">
        <v>0</v>
      </c>
      <c r="E71" s="42">
        <v>0</v>
      </c>
      <c r="F71" s="42">
        <v>0</v>
      </c>
      <c r="G71" s="37">
        <f>C71*52+D71*12+E71*4+F71</f>
        <v>0</v>
      </c>
    </row>
    <row r="72" spans="2:7" ht="18" customHeight="1">
      <c r="B72" s="15" t="s">
        <v>364</v>
      </c>
      <c r="C72" s="42">
        <v>0</v>
      </c>
      <c r="D72" s="42">
        <v>0</v>
      </c>
      <c r="E72" s="42">
        <v>0</v>
      </c>
      <c r="F72" s="42">
        <v>0</v>
      </c>
      <c r="G72" s="37">
        <f>C72*52+D72*12+E72*4+F72</f>
        <v>0</v>
      </c>
    </row>
    <row r="73" spans="2:7" ht="18" customHeight="1">
      <c r="B73" s="50" t="s">
        <v>365</v>
      </c>
      <c r="C73" s="41"/>
      <c r="D73" s="41"/>
      <c r="E73" s="41"/>
      <c r="F73" s="41"/>
      <c r="G73" s="41">
        <f>SUM(G67:G72)</f>
        <v>0</v>
      </c>
    </row>
    <row r="74" spans="2:7" ht="21.75" customHeight="1">
      <c r="B74" s="128" t="s">
        <v>366</v>
      </c>
      <c r="C74" s="128"/>
      <c r="D74" s="128"/>
      <c r="E74" s="128"/>
      <c r="F74" s="128"/>
      <c r="G74" s="128"/>
    </row>
    <row r="75" spans="2:7" ht="18" customHeight="1">
      <c r="B75" s="18" t="s">
        <v>367</v>
      </c>
      <c r="C75" s="42">
        <v>0</v>
      </c>
      <c r="D75" s="42">
        <v>0</v>
      </c>
      <c r="E75" s="42">
        <v>0</v>
      </c>
      <c r="F75" s="42">
        <v>0</v>
      </c>
      <c r="G75" s="37">
        <f>C75*52+D75*12+E75*4+F75</f>
        <v>0</v>
      </c>
    </row>
    <row r="76" spans="2:7" ht="18" customHeight="1">
      <c r="B76" s="15" t="s">
        <v>368</v>
      </c>
      <c r="C76" s="42">
        <v>0</v>
      </c>
      <c r="D76" s="42">
        <v>0</v>
      </c>
      <c r="E76" s="42">
        <v>0</v>
      </c>
      <c r="F76" s="42">
        <v>0</v>
      </c>
      <c r="G76" s="37">
        <f>C76*52+D76*12+E76*4+F76</f>
        <v>0</v>
      </c>
    </row>
    <row r="77" spans="2:7" ht="18" customHeight="1">
      <c r="B77" s="18" t="s">
        <v>369</v>
      </c>
      <c r="C77" s="42">
        <v>0</v>
      </c>
      <c r="D77" s="42">
        <v>0</v>
      </c>
      <c r="E77" s="42">
        <v>0</v>
      </c>
      <c r="F77" s="42">
        <v>0</v>
      </c>
      <c r="G77" s="37">
        <f>C77*52+D77*12+E77*4+F77</f>
        <v>0</v>
      </c>
    </row>
    <row r="78" spans="2:7" ht="18" customHeight="1">
      <c r="B78" s="15" t="s">
        <v>370</v>
      </c>
      <c r="C78" s="42">
        <v>0</v>
      </c>
      <c r="D78" s="42">
        <v>0</v>
      </c>
      <c r="E78" s="42">
        <v>0</v>
      </c>
      <c r="F78" s="42">
        <v>0</v>
      </c>
      <c r="G78" s="37">
        <f>C78*52+D78*12+E78*4+F78</f>
        <v>0</v>
      </c>
    </row>
    <row r="79" spans="2:7" ht="18" customHeight="1">
      <c r="B79" s="39" t="s">
        <v>371</v>
      </c>
      <c r="C79" s="42">
        <v>0</v>
      </c>
      <c r="D79" s="42">
        <v>0</v>
      </c>
      <c r="E79" s="42">
        <v>0</v>
      </c>
      <c r="F79" s="42">
        <v>0</v>
      </c>
      <c r="G79" s="37">
        <f>C79*52+D79*12+E79*4+F79</f>
        <v>0</v>
      </c>
    </row>
    <row r="80" spans="2:7" ht="18" customHeight="1">
      <c r="B80" s="15" t="s">
        <v>372</v>
      </c>
      <c r="C80" s="42">
        <v>0</v>
      </c>
      <c r="D80" s="42">
        <v>0</v>
      </c>
      <c r="E80" s="42">
        <v>0</v>
      </c>
      <c r="F80" s="42">
        <v>0</v>
      </c>
      <c r="G80" s="37">
        <f>C80*52+D80*12+E80*4+F80</f>
        <v>0</v>
      </c>
    </row>
    <row r="81" spans="2:7" ht="18" customHeight="1">
      <c r="B81" s="50" t="s">
        <v>373</v>
      </c>
      <c r="C81" s="41"/>
      <c r="D81" s="41"/>
      <c r="E81" s="41"/>
      <c r="F81" s="41"/>
      <c r="G81" s="41">
        <f>SUM(G75:G80)</f>
        <v>0</v>
      </c>
    </row>
    <row r="82" spans="2:7" ht="21.75" customHeight="1">
      <c r="B82" s="128" t="s">
        <v>374</v>
      </c>
      <c r="C82" s="128"/>
      <c r="D82" s="128"/>
      <c r="E82" s="128"/>
      <c r="F82" s="128"/>
      <c r="G82" s="128"/>
    </row>
    <row r="83" spans="2:7" ht="18" customHeight="1">
      <c r="B83" s="39" t="s">
        <v>375</v>
      </c>
      <c r="C83" s="42">
        <v>0</v>
      </c>
      <c r="D83" s="42">
        <v>0</v>
      </c>
      <c r="E83" s="42">
        <v>0</v>
      </c>
      <c r="F83" s="42">
        <v>0</v>
      </c>
      <c r="G83" s="37">
        <f>C83*52+D83*12+E83*4+F83</f>
        <v>0</v>
      </c>
    </row>
    <row r="84" spans="2:7" ht="18" customHeight="1">
      <c r="B84" s="15" t="s">
        <v>376</v>
      </c>
      <c r="C84" s="42">
        <v>0</v>
      </c>
      <c r="D84" s="42">
        <v>0</v>
      </c>
      <c r="E84" s="42">
        <v>0</v>
      </c>
      <c r="F84" s="42">
        <v>0</v>
      </c>
      <c r="G84" s="37">
        <f>C84*52+D84*12+E84*4+F84</f>
        <v>0</v>
      </c>
    </row>
    <row r="85" spans="2:7" ht="18" customHeight="1">
      <c r="B85" s="18" t="s">
        <v>377</v>
      </c>
      <c r="C85" s="42">
        <v>0</v>
      </c>
      <c r="D85" s="42">
        <v>0</v>
      </c>
      <c r="E85" s="42">
        <v>0</v>
      </c>
      <c r="F85" s="42">
        <v>0</v>
      </c>
      <c r="G85" s="37">
        <f>C85*52+D85*12+E85*4+F85</f>
        <v>0</v>
      </c>
    </row>
    <row r="86" spans="2:7" ht="18" customHeight="1">
      <c r="B86" s="50" t="s">
        <v>378</v>
      </c>
      <c r="C86" s="41"/>
      <c r="D86" s="41"/>
      <c r="E86" s="41"/>
      <c r="F86" s="41"/>
      <c r="G86" s="41">
        <f>SUM(G83:G85)</f>
        <v>0</v>
      </c>
    </row>
    <row r="87" spans="2:7" ht="21.75" customHeight="1">
      <c r="B87" s="128" t="s">
        <v>379</v>
      </c>
      <c r="C87" s="128"/>
      <c r="D87" s="128"/>
      <c r="E87" s="128"/>
      <c r="F87" s="128"/>
      <c r="G87" s="128"/>
    </row>
    <row r="88" spans="2:7" ht="18" customHeight="1">
      <c r="B88" s="15" t="s">
        <v>380</v>
      </c>
      <c r="C88" s="42">
        <v>0</v>
      </c>
      <c r="D88" s="42">
        <v>0</v>
      </c>
      <c r="E88" s="42">
        <v>0</v>
      </c>
      <c r="F88" s="42">
        <v>0</v>
      </c>
      <c r="G88" s="37">
        <f>C88*52+D88*12+E88*4+F88</f>
        <v>0</v>
      </c>
    </row>
    <row r="89" spans="2:7" ht="18" customHeight="1">
      <c r="B89" s="18" t="s">
        <v>381</v>
      </c>
      <c r="C89" s="42">
        <v>0</v>
      </c>
      <c r="D89" s="42">
        <v>0</v>
      </c>
      <c r="E89" s="42">
        <v>0</v>
      </c>
      <c r="F89" s="42">
        <v>0</v>
      </c>
      <c r="G89" s="37">
        <f>C89*52+D89*12+E89*4+F89</f>
        <v>0</v>
      </c>
    </row>
    <row r="90" spans="2:7" ht="18" customHeight="1">
      <c r="B90" s="50" t="s">
        <v>382</v>
      </c>
      <c r="C90" s="41"/>
      <c r="D90" s="41"/>
      <c r="E90" s="41"/>
      <c r="F90" s="41"/>
      <c r="G90" s="41">
        <f>SUM(G88:G89)</f>
        <v>0</v>
      </c>
    </row>
    <row r="91" spans="2:7" ht="21.75" customHeight="1">
      <c r="B91" s="128" t="s">
        <v>383</v>
      </c>
      <c r="C91" s="128"/>
      <c r="D91" s="128"/>
      <c r="E91" s="128"/>
      <c r="F91" s="128"/>
      <c r="G91" s="128"/>
    </row>
    <row r="92" spans="2:7" ht="18" customHeight="1">
      <c r="B92" s="15" t="s">
        <v>384</v>
      </c>
      <c r="C92" s="42">
        <v>0</v>
      </c>
      <c r="D92" s="42">
        <v>0</v>
      </c>
      <c r="E92" s="42">
        <v>0</v>
      </c>
      <c r="F92" s="42">
        <v>0</v>
      </c>
      <c r="G92" s="37">
        <f>C92*52+D92*12+E92*4+F92</f>
        <v>0</v>
      </c>
    </row>
    <row r="93" spans="2:7" ht="18" customHeight="1">
      <c r="B93" s="18" t="s">
        <v>385</v>
      </c>
      <c r="C93" s="42">
        <v>0</v>
      </c>
      <c r="D93" s="42">
        <v>0</v>
      </c>
      <c r="E93" s="42">
        <v>0</v>
      </c>
      <c r="F93" s="42">
        <v>0</v>
      </c>
      <c r="G93" s="37">
        <f>C93*52+D93*12+E93*4+F93</f>
        <v>0</v>
      </c>
    </row>
    <row r="94" spans="2:7" ht="18" customHeight="1">
      <c r="B94" s="15" t="s">
        <v>386</v>
      </c>
      <c r="C94" s="42">
        <v>0</v>
      </c>
      <c r="D94" s="42">
        <v>0</v>
      </c>
      <c r="E94" s="42">
        <v>0</v>
      </c>
      <c r="F94" s="42">
        <v>0</v>
      </c>
      <c r="G94" s="37">
        <f>C94*52+D94*12+E94*4+F94</f>
        <v>0</v>
      </c>
    </row>
    <row r="95" spans="2:7" ht="18" customHeight="1">
      <c r="B95" s="18" t="s">
        <v>387</v>
      </c>
      <c r="C95" s="42">
        <v>0</v>
      </c>
      <c r="D95" s="42">
        <v>0</v>
      </c>
      <c r="E95" s="42">
        <v>0</v>
      </c>
      <c r="F95" s="42">
        <v>0</v>
      </c>
      <c r="G95" s="37">
        <f>C95*52+D95*12+E95*4+F95</f>
        <v>0</v>
      </c>
    </row>
    <row r="96" spans="2:7" ht="18" customHeight="1">
      <c r="B96" s="50" t="s">
        <v>388</v>
      </c>
      <c r="C96" s="41"/>
      <c r="D96" s="41"/>
      <c r="E96" s="41"/>
      <c r="F96" s="41"/>
      <c r="G96" s="41">
        <f>SUM(G92:G95)</f>
        <v>0</v>
      </c>
    </row>
    <row r="97" spans="2:9" ht="21.75" customHeight="1">
      <c r="B97" s="128" t="s">
        <v>389</v>
      </c>
      <c r="C97" s="128"/>
      <c r="D97" s="128"/>
      <c r="E97" s="128"/>
      <c r="F97" s="128"/>
      <c r="G97" s="128"/>
    </row>
    <row r="98" spans="2:9" ht="18" customHeight="1">
      <c r="B98" s="15" t="s">
        <v>390</v>
      </c>
      <c r="C98" s="42">
        <v>0</v>
      </c>
      <c r="D98" s="42">
        <v>0</v>
      </c>
      <c r="E98" s="42">
        <v>0</v>
      </c>
      <c r="F98" s="42">
        <v>0</v>
      </c>
      <c r="G98" s="37">
        <f>C98*52+D98*12+E98*4+F98</f>
        <v>0</v>
      </c>
    </row>
    <row r="99" spans="2:9" ht="18" customHeight="1">
      <c r="B99" s="18" t="s">
        <v>391</v>
      </c>
      <c r="C99" s="42">
        <v>0</v>
      </c>
      <c r="D99" s="42">
        <v>0</v>
      </c>
      <c r="E99" s="42">
        <v>0</v>
      </c>
      <c r="F99" s="42">
        <v>0</v>
      </c>
      <c r="G99" s="37">
        <f>C99*52+D99*12+E99*4+F99</f>
        <v>0</v>
      </c>
    </row>
    <row r="100" spans="2:9" ht="18" customHeight="1">
      <c r="B100" s="15" t="s">
        <v>392</v>
      </c>
      <c r="C100" s="42">
        <v>0</v>
      </c>
      <c r="D100" s="42">
        <v>0</v>
      </c>
      <c r="E100" s="42">
        <v>0</v>
      </c>
      <c r="F100" s="42">
        <v>0</v>
      </c>
      <c r="G100" s="37">
        <f>C100*52+D100*12+E100*4+F100</f>
        <v>0</v>
      </c>
    </row>
    <row r="101" spans="2:9" ht="18" customHeight="1">
      <c r="B101" s="18" t="s">
        <v>393</v>
      </c>
      <c r="C101" s="42">
        <v>0</v>
      </c>
      <c r="D101" s="42">
        <v>0</v>
      </c>
      <c r="E101" s="42">
        <v>0</v>
      </c>
      <c r="F101" s="42">
        <v>0</v>
      </c>
      <c r="G101" s="37">
        <f>C101*52+D101*12+E101*4+F101</f>
        <v>0</v>
      </c>
    </row>
    <row r="102" spans="2:9" ht="18" customHeight="1">
      <c r="B102" s="50" t="s">
        <v>394</v>
      </c>
      <c r="C102" s="41"/>
      <c r="D102" s="41"/>
      <c r="E102" s="41"/>
      <c r="F102" s="41"/>
      <c r="G102" s="41">
        <f>SUM(G98:G101)</f>
        <v>0</v>
      </c>
    </row>
    <row r="103" spans="2:9" ht="21.75" customHeight="1">
      <c r="B103" s="128" t="s">
        <v>395</v>
      </c>
      <c r="C103" s="128"/>
      <c r="D103" s="128"/>
      <c r="E103" s="128"/>
      <c r="F103" s="128"/>
      <c r="G103" s="128"/>
    </row>
    <row r="104" spans="2:9" ht="18" customHeight="1">
      <c r="B104" s="15" t="s">
        <v>396</v>
      </c>
      <c r="C104" s="42">
        <v>0</v>
      </c>
      <c r="D104" s="42">
        <v>0</v>
      </c>
      <c r="E104" s="42">
        <v>0</v>
      </c>
      <c r="F104" s="42">
        <v>0</v>
      </c>
      <c r="G104" s="37">
        <f>C104*52+D104*12+E104*4+F104</f>
        <v>0</v>
      </c>
    </row>
    <row r="105" spans="2:9" ht="18" customHeight="1">
      <c r="B105" s="18" t="s">
        <v>397</v>
      </c>
      <c r="C105" s="42">
        <v>0</v>
      </c>
      <c r="D105" s="42">
        <v>0</v>
      </c>
      <c r="E105" s="42">
        <v>0</v>
      </c>
      <c r="F105" s="42">
        <v>0</v>
      </c>
      <c r="G105" s="37">
        <f>C105*52+D105*12+E105*4+F105</f>
        <v>0</v>
      </c>
    </row>
    <row r="106" spans="2:9" ht="18" customHeight="1">
      <c r="B106" s="50" t="s">
        <v>398</v>
      </c>
      <c r="C106" s="41"/>
      <c r="D106" s="41"/>
      <c r="E106" s="41"/>
      <c r="F106" s="41"/>
      <c r="G106" s="41">
        <f>SUM(G104:G105)</f>
        <v>0</v>
      </c>
    </row>
    <row r="108" spans="2:9" ht="21.75" customHeight="1">
      <c r="B108" s="141" t="s">
        <v>399</v>
      </c>
      <c r="C108" s="141"/>
      <c r="D108" s="141"/>
      <c r="E108" s="141"/>
      <c r="F108" s="141"/>
      <c r="G108" s="141"/>
    </row>
    <row r="109" spans="2:9" ht="18" customHeight="1">
      <c r="B109" s="119" t="s">
        <v>400</v>
      </c>
      <c r="C109" s="41"/>
      <c r="D109" s="41"/>
      <c r="E109" s="41"/>
      <c r="F109" s="41"/>
      <c r="G109" s="41">
        <f>G9+G19+G23+G29+G35+G43+G51+G56+G65+G73+G81+G86+G90+G96+G102+G106</f>
        <v>0</v>
      </c>
    </row>
    <row r="112" spans="2:9" ht="18" customHeight="1">
      <c r="B112" s="130" t="s">
        <v>401</v>
      </c>
      <c r="C112" s="130"/>
      <c r="D112" s="130"/>
      <c r="E112" s="130"/>
      <c r="F112" s="130"/>
      <c r="G112" s="130"/>
      <c r="H112" s="130"/>
      <c r="I112" s="130"/>
    </row>
    <row r="113" spans="2:14" ht="36" customHeight="1">
      <c r="B113" s="131" t="s">
        <v>402</v>
      </c>
      <c r="C113" s="131"/>
      <c r="D113" s="122"/>
      <c r="E113" s="122"/>
      <c r="F113" s="122"/>
      <c r="G113" s="122"/>
      <c r="H113" s="122"/>
      <c r="I113" s="122"/>
    </row>
    <row r="114" spans="2:14" ht="18" customHeight="1">
      <c r="B114" s="125" t="s">
        <v>403</v>
      </c>
      <c r="C114" s="125"/>
      <c r="D114" s="124" t="s">
        <v>404</v>
      </c>
      <c r="E114" s="124"/>
      <c r="F114" s="124"/>
      <c r="G114" s="124"/>
      <c r="H114" s="124"/>
      <c r="I114" s="124"/>
    </row>
    <row r="115" spans="2:14" ht="18" customHeight="1">
      <c r="B115" s="151" t="s">
        <v>405</v>
      </c>
      <c r="C115" s="151"/>
      <c r="D115" s="122" t="s">
        <v>406</v>
      </c>
      <c r="E115" s="122"/>
      <c r="F115" s="122"/>
      <c r="G115" s="122"/>
      <c r="H115" s="122"/>
      <c r="I115" s="122"/>
    </row>
    <row r="116" spans="2:14" ht="18" customHeight="1">
      <c r="B116" s="125" t="s">
        <v>407</v>
      </c>
      <c r="C116" s="125"/>
      <c r="D116" s="124" t="s">
        <v>408</v>
      </c>
      <c r="E116" s="124"/>
      <c r="F116" s="124"/>
      <c r="G116" s="124"/>
      <c r="H116" s="124"/>
      <c r="I116" s="124"/>
    </row>
    <row r="117" spans="2:14" ht="18" customHeight="1">
      <c r="B117" s="151" t="s">
        <v>409</v>
      </c>
      <c r="C117" s="151"/>
      <c r="D117" s="122" t="s">
        <v>410</v>
      </c>
      <c r="E117" s="122"/>
      <c r="F117" s="122"/>
      <c r="G117" s="122"/>
      <c r="H117" s="122"/>
      <c r="I117" s="122"/>
    </row>
    <row r="118" spans="2:14" ht="18" customHeight="1">
      <c r="B118" s="125" t="s">
        <v>411</v>
      </c>
      <c r="C118" s="125"/>
      <c r="D118" s="124" t="s">
        <v>412</v>
      </c>
      <c r="E118" s="124"/>
      <c r="F118" s="124"/>
      <c r="G118" s="124"/>
      <c r="H118" s="124"/>
      <c r="I118" s="124"/>
    </row>
    <row r="119" spans="2:14" ht="18" customHeight="1">
      <c r="B119" s="151" t="s">
        <v>413</v>
      </c>
      <c r="C119" s="151"/>
      <c r="D119" s="122" t="s">
        <v>414</v>
      </c>
      <c r="E119" s="122"/>
      <c r="F119" s="122"/>
      <c r="G119" s="122"/>
      <c r="H119" s="122"/>
      <c r="I119" s="122"/>
    </row>
    <row r="120" spans="2:14" ht="18" customHeight="1">
      <c r="B120" s="123" t="s">
        <v>107</v>
      </c>
      <c r="C120" s="123"/>
      <c r="D120" s="124" t="s">
        <v>415</v>
      </c>
      <c r="E120" s="124"/>
      <c r="F120" s="124"/>
      <c r="G120" s="124"/>
      <c r="H120" s="124"/>
      <c r="I120" s="124"/>
    </row>
    <row r="122" spans="2:14" ht="1.5" customHeight="1">
      <c r="B122" s="23"/>
      <c r="C122" s="23"/>
      <c r="D122" s="23"/>
      <c r="E122" s="23"/>
      <c r="F122" s="23"/>
      <c r="G122" s="23"/>
      <c r="H122" s="23"/>
      <c r="I122" s="23"/>
      <c r="J122" s="23"/>
      <c r="K122" s="23"/>
      <c r="L122" s="23"/>
      <c r="M122" s="23"/>
      <c r="N122" s="23"/>
    </row>
    <row r="123" spans="2:14" ht="18" customHeight="1">
      <c r="B123" s="120" t="str">
        <f>"Prepared by Baobab Consulting  ·  Commercial in Confidence — "&amp;FamilyName&amp;" Group  ·  FY "&amp;FYYear</f>
        <v>Prepared by Baobab Consulting  ·  Commercial in Confidence — Le Group  ·  FY 2025-26</v>
      </c>
      <c r="C123" s="120"/>
      <c r="D123" s="120"/>
      <c r="E123" s="120"/>
      <c r="F123" s="120"/>
      <c r="G123" s="120"/>
      <c r="H123" s="120"/>
      <c r="I123" s="120"/>
      <c r="J123" s="120"/>
      <c r="K123" s="120"/>
      <c r="L123" s="120"/>
      <c r="M123" s="120"/>
      <c r="N123" s="120"/>
    </row>
  </sheetData>
  <sheetProtection password="CBB8" sheet="1" objects="1" scenarios="1" formatCells="0" formatColumns="0" formatRows="0" insertColumns="0" insertRows="0" deleteColumns="0" deleteRows="0" sort="0" autoFilter="0"/>
  <mergeCells count="42">
    <mergeCell ref="C1:Q1"/>
    <mergeCell ref="C2:Q2"/>
    <mergeCell ref="B3:Q3"/>
    <mergeCell ref="B5:G5"/>
    <mergeCell ref="I5:N5"/>
    <mergeCell ref="B10:G10"/>
    <mergeCell ref="I14:N14"/>
    <mergeCell ref="B20:G20"/>
    <mergeCell ref="I23:N23"/>
    <mergeCell ref="B24:G24"/>
    <mergeCell ref="B30:G30"/>
    <mergeCell ref="I33:N33"/>
    <mergeCell ref="B36:G36"/>
    <mergeCell ref="B44:G44"/>
    <mergeCell ref="B52:G52"/>
    <mergeCell ref="B57:G57"/>
    <mergeCell ref="B66:G66"/>
    <mergeCell ref="B74:G74"/>
    <mergeCell ref="B82:G82"/>
    <mergeCell ref="B87:G87"/>
    <mergeCell ref="B91:G91"/>
    <mergeCell ref="B97:G97"/>
    <mergeCell ref="B103:G103"/>
    <mergeCell ref="B108:G108"/>
    <mergeCell ref="B112:I112"/>
    <mergeCell ref="B113:C113"/>
    <mergeCell ref="D113:I113"/>
    <mergeCell ref="B114:C114"/>
    <mergeCell ref="D114:I114"/>
    <mergeCell ref="B115:C115"/>
    <mergeCell ref="D115:I115"/>
    <mergeCell ref="B116:C116"/>
    <mergeCell ref="D116:I116"/>
    <mergeCell ref="B117:C117"/>
    <mergeCell ref="D117:I117"/>
    <mergeCell ref="B118:C118"/>
    <mergeCell ref="D118:I118"/>
    <mergeCell ref="B119:C119"/>
    <mergeCell ref="D119:I119"/>
    <mergeCell ref="B120:C120"/>
    <mergeCell ref="D120:I120"/>
    <mergeCell ref="B123:N123"/>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Normal="100" workbookViewId="0">
      <pane xSplit="2" ySplit="4" topLeftCell="C59" activePane="bottomRight" state="frozen"/>
      <selection pane="bottomRight"/>
      <selection pane="bottomLeft" activeCell="A5" sqref="A5"/>
      <selection pane="topRight" activeCell="C1" sqref="C1"/>
    </sheetView>
  </sheetViews>
  <sheetFormatPr defaultColWidth="8.7109375" defaultRowHeight="15"/>
  <cols>
    <col min="1" max="1" width="2" style="1" customWidth="1"/>
    <col min="2" max="2" width="30" style="1" customWidth="1"/>
    <col min="3" max="14" width="10" style="1" customWidth="1"/>
    <col min="15" max="15" width="13" style="1" customWidth="1"/>
  </cols>
  <sheetData>
    <row r="1" spans="1:22" ht="90" customHeight="1">
      <c r="A1" s="8"/>
      <c r="B1" s="8"/>
      <c r="C1" s="132" t="str">
        <f>FamilyName&amp;" Group — 12-Month Cashflow Calendar"</f>
        <v>Le Group — 12-Month Cashflow Calendar</v>
      </c>
      <c r="D1" s="132"/>
      <c r="E1" s="132"/>
      <c r="F1" s="132"/>
      <c r="G1" s="132"/>
      <c r="H1" s="132"/>
      <c r="I1" s="132"/>
      <c r="J1" s="132"/>
      <c r="K1" s="132"/>
      <c r="L1" s="132"/>
      <c r="M1" s="132"/>
      <c r="N1" s="132"/>
      <c r="O1" s="132"/>
      <c r="P1" s="132"/>
      <c r="Q1" s="132"/>
      <c r="R1" s="132"/>
      <c r="S1" s="8"/>
      <c r="T1" s="8"/>
      <c r="U1" s="8"/>
      <c r="V1" s="9"/>
    </row>
    <row r="2" spans="1:22" ht="18" customHeight="1">
      <c r="A2" s="10"/>
      <c r="B2" s="10"/>
      <c r="C2" s="133" t="str">
        <f>"FY "&amp;FYYear&amp;"  ·  Baobab Consulting  ·  Confidential"</f>
        <v>FY 2025-26  ·  Baobab Consulting  ·  Confidential</v>
      </c>
      <c r="D2" s="133"/>
      <c r="E2" s="133"/>
      <c r="F2" s="133"/>
      <c r="G2" s="133"/>
      <c r="H2" s="133"/>
      <c r="I2" s="133"/>
      <c r="J2" s="133"/>
      <c r="K2" s="133"/>
      <c r="L2" s="133"/>
      <c r="M2" s="133"/>
      <c r="N2" s="133"/>
      <c r="O2" s="133"/>
      <c r="P2" s="133"/>
      <c r="Q2" s="133"/>
      <c r="R2" s="133"/>
      <c r="S2" s="10"/>
      <c r="T2" s="10"/>
      <c r="U2" s="10"/>
      <c r="V2" s="9"/>
    </row>
    <row r="3" spans="1:22" ht="13.5" customHeight="1">
      <c r="A3" s="11"/>
      <c r="B3" s="134" t="s">
        <v>1</v>
      </c>
      <c r="C3" s="134"/>
      <c r="D3" s="134"/>
      <c r="E3" s="134"/>
      <c r="F3" s="134"/>
      <c r="G3" s="134"/>
      <c r="H3" s="134"/>
      <c r="I3" s="134"/>
      <c r="J3" s="134"/>
      <c r="K3" s="134"/>
      <c r="L3" s="134"/>
      <c r="M3" s="134"/>
      <c r="N3" s="134"/>
      <c r="O3" s="134"/>
      <c r="P3" s="134"/>
      <c r="Q3" s="134"/>
      <c r="R3" s="134"/>
      <c r="S3" s="11"/>
      <c r="T3" s="11"/>
      <c r="U3" s="11"/>
      <c r="V3" s="9"/>
    </row>
    <row r="4" spans="1:22" ht="36" customHeight="1">
      <c r="B4" s="45" t="s">
        <v>134</v>
      </c>
      <c r="C4" s="45" t="s">
        <v>416</v>
      </c>
      <c r="D4" s="45" t="s">
        <v>417</v>
      </c>
      <c r="E4" s="45" t="s">
        <v>418</v>
      </c>
      <c r="F4" s="45" t="s">
        <v>419</v>
      </c>
      <c r="G4" s="45" t="s">
        <v>420</v>
      </c>
      <c r="H4" s="45" t="s">
        <v>421</v>
      </c>
      <c r="I4" s="45" t="s">
        <v>422</v>
      </c>
      <c r="J4" s="45" t="s">
        <v>423</v>
      </c>
      <c r="K4" s="45" t="s">
        <v>424</v>
      </c>
      <c r="L4" s="45" t="s">
        <v>425</v>
      </c>
      <c r="M4" s="45" t="s">
        <v>426</v>
      </c>
      <c r="N4" s="45" t="s">
        <v>427</v>
      </c>
      <c r="O4" s="45" t="s">
        <v>280</v>
      </c>
    </row>
    <row r="5" spans="1:22" ht="18" customHeight="1">
      <c r="B5" s="18" t="str">
        <f>"Salary — "&amp;Person1</f>
        <v>Salary — Lina</v>
      </c>
      <c r="C5" s="77">
        <f>'💰 Income Planning'!D22</f>
        <v>0</v>
      </c>
      <c r="D5" s="77">
        <f>'💰 Income Planning'!D22</f>
        <v>0</v>
      </c>
      <c r="E5" s="77">
        <f>'💰 Income Planning'!D22</f>
        <v>0</v>
      </c>
      <c r="F5" s="77">
        <f>'💰 Income Planning'!D22</f>
        <v>0</v>
      </c>
      <c r="G5" s="77">
        <f>'💰 Income Planning'!D22</f>
        <v>0</v>
      </c>
      <c r="H5" s="77">
        <f>'💰 Income Planning'!D22</f>
        <v>0</v>
      </c>
      <c r="I5" s="77">
        <f>'💰 Income Planning'!D22</f>
        <v>0</v>
      </c>
      <c r="J5" s="77">
        <f>'💰 Income Planning'!D22</f>
        <v>0</v>
      </c>
      <c r="K5" s="77">
        <f>'💰 Income Planning'!D22</f>
        <v>0</v>
      </c>
      <c r="L5" s="77">
        <f>'💰 Income Planning'!D22</f>
        <v>0</v>
      </c>
      <c r="M5" s="77">
        <f>'💰 Income Planning'!D22</f>
        <v>0</v>
      </c>
      <c r="N5" s="77">
        <f>'💰 Income Planning'!D22</f>
        <v>0</v>
      </c>
      <c r="O5" s="37">
        <f>'💰 Income Planning'!D22*12</f>
        <v>0</v>
      </c>
    </row>
    <row r="6" spans="1:22" ht="18" customHeight="1">
      <c r="B6" s="15" t="str">
        <f>"Salary — "&amp;Person2</f>
        <v>Salary — TBC</v>
      </c>
      <c r="C6" s="77">
        <f>'💰 Income Planning'!E22</f>
        <v>0</v>
      </c>
      <c r="D6" s="77">
        <f>'💰 Income Planning'!E22</f>
        <v>0</v>
      </c>
      <c r="E6" s="77">
        <f>'💰 Income Planning'!E22</f>
        <v>0</v>
      </c>
      <c r="F6" s="77">
        <f>'💰 Income Planning'!E22</f>
        <v>0</v>
      </c>
      <c r="G6" s="77">
        <f>'💰 Income Planning'!E22</f>
        <v>0</v>
      </c>
      <c r="H6" s="77">
        <f>'💰 Income Planning'!E22</f>
        <v>0</v>
      </c>
      <c r="I6" s="77">
        <f>'💰 Income Planning'!E22</f>
        <v>0</v>
      </c>
      <c r="J6" s="77">
        <f>'💰 Income Planning'!E22</f>
        <v>0</v>
      </c>
      <c r="K6" s="77">
        <f>'💰 Income Planning'!E22</f>
        <v>0</v>
      </c>
      <c r="L6" s="77">
        <f>'💰 Income Planning'!E22</f>
        <v>0</v>
      </c>
      <c r="M6" s="77">
        <f>'💰 Income Planning'!E22</f>
        <v>0</v>
      </c>
      <c r="N6" s="77">
        <f>'💰 Income Planning'!E22</f>
        <v>0</v>
      </c>
      <c r="O6" s="37">
        <f>'💰 Income Planning'!E22*12</f>
        <v>0</v>
      </c>
    </row>
    <row r="7" spans="1:22" ht="18" customHeight="1">
      <c r="B7" s="39" t="s">
        <v>428</v>
      </c>
      <c r="C7" s="77">
        <f>'💰 Income Planning'!F10</f>
        <v>0</v>
      </c>
      <c r="D7" s="77">
        <f>'💰 Income Planning'!F10</f>
        <v>0</v>
      </c>
      <c r="E7" s="77">
        <f>'💰 Income Planning'!F10</f>
        <v>0</v>
      </c>
      <c r="F7" s="77">
        <f>'💰 Income Planning'!F10</f>
        <v>0</v>
      </c>
      <c r="G7" s="77">
        <f>'💰 Income Planning'!F10</f>
        <v>0</v>
      </c>
      <c r="H7" s="77">
        <f>'💰 Income Planning'!F10</f>
        <v>0</v>
      </c>
      <c r="I7" s="77">
        <f>'💰 Income Planning'!F10</f>
        <v>0</v>
      </c>
      <c r="J7" s="77">
        <f>'💰 Income Planning'!F10</f>
        <v>0</v>
      </c>
      <c r="K7" s="77">
        <f>'💰 Income Planning'!F10</f>
        <v>0</v>
      </c>
      <c r="L7" s="77">
        <f>'💰 Income Planning'!F10</f>
        <v>0</v>
      </c>
      <c r="M7" s="77">
        <f>'💰 Income Planning'!F10</f>
        <v>0</v>
      </c>
      <c r="N7" s="77">
        <f>'💰 Income Planning'!F10</f>
        <v>0</v>
      </c>
      <c r="O7" s="37">
        <f>'💰 Income Planning'!F10*12</f>
        <v>0</v>
      </c>
    </row>
    <row r="8" spans="1:22" ht="18" customHeight="1">
      <c r="B8" s="15" t="s">
        <v>429</v>
      </c>
      <c r="C8" s="77">
        <f>'💰 Income Planning'!F16</f>
        <v>0</v>
      </c>
      <c r="D8" s="77">
        <f>'💰 Income Planning'!F16</f>
        <v>0</v>
      </c>
      <c r="E8" s="77">
        <f>'💰 Income Planning'!F16</f>
        <v>0</v>
      </c>
      <c r="F8" s="77">
        <f>'💰 Income Planning'!F16</f>
        <v>0</v>
      </c>
      <c r="G8" s="77">
        <f>'💰 Income Planning'!F16</f>
        <v>0</v>
      </c>
      <c r="H8" s="77">
        <f>'💰 Income Planning'!F16</f>
        <v>0</v>
      </c>
      <c r="I8" s="77">
        <f>'💰 Income Planning'!F16</f>
        <v>0</v>
      </c>
      <c r="J8" s="77">
        <f>'💰 Income Planning'!F16</f>
        <v>0</v>
      </c>
      <c r="K8" s="77">
        <f>'💰 Income Planning'!F16</f>
        <v>0</v>
      </c>
      <c r="L8" s="77">
        <f>'💰 Income Planning'!F16</f>
        <v>0</v>
      </c>
      <c r="M8" s="77">
        <f>'💰 Income Planning'!F16</f>
        <v>0</v>
      </c>
      <c r="N8" s="77">
        <f>'💰 Income Planning'!F16</f>
        <v>0</v>
      </c>
      <c r="O8" s="37">
        <f>'💰 Income Planning'!F16*12</f>
        <v>0</v>
      </c>
    </row>
    <row r="9" spans="1:22" ht="18" customHeight="1">
      <c r="B9" s="39" t="s">
        <v>430</v>
      </c>
      <c r="C9" s="77">
        <f>'🏘 Rental Properties'!O11/12</f>
        <v>0</v>
      </c>
      <c r="D9" s="77">
        <f>'🏘 Rental Properties'!O11/12</f>
        <v>0</v>
      </c>
      <c r="E9" s="77">
        <f>'🏘 Rental Properties'!O11/12</f>
        <v>0</v>
      </c>
      <c r="F9" s="77">
        <f>'🏘 Rental Properties'!O11/12</f>
        <v>0</v>
      </c>
      <c r="G9" s="77">
        <f>'🏘 Rental Properties'!O11/12</f>
        <v>0</v>
      </c>
      <c r="H9" s="77">
        <f>'🏘 Rental Properties'!O11/12</f>
        <v>0</v>
      </c>
      <c r="I9" s="77">
        <f>'🏘 Rental Properties'!O11/12</f>
        <v>0</v>
      </c>
      <c r="J9" s="77">
        <f>'🏘 Rental Properties'!O11/12</f>
        <v>0</v>
      </c>
      <c r="K9" s="77">
        <f>'🏘 Rental Properties'!O11/12</f>
        <v>0</v>
      </c>
      <c r="L9" s="77">
        <f>'🏘 Rental Properties'!O11/12</f>
        <v>0</v>
      </c>
      <c r="M9" s="77">
        <f>'🏘 Rental Properties'!O11/12</f>
        <v>0</v>
      </c>
      <c r="N9" s="77">
        <f>'🏘 Rental Properties'!O11/12</f>
        <v>0</v>
      </c>
      <c r="O9" s="37">
        <f>'🏘 Rental Properties'!O11</f>
        <v>0</v>
      </c>
    </row>
    <row r="10" spans="1:22" ht="18" customHeight="1">
      <c r="B10" s="22" t="s">
        <v>431</v>
      </c>
      <c r="C10" s="77">
        <f>'💰 Income Planning'!F28</f>
        <v>0</v>
      </c>
      <c r="D10" s="77">
        <f>'💰 Income Planning'!F28</f>
        <v>0</v>
      </c>
      <c r="E10" s="77">
        <f>'💰 Income Planning'!F28</f>
        <v>0</v>
      </c>
      <c r="F10" s="77">
        <f>'💰 Income Planning'!F28</f>
        <v>0</v>
      </c>
      <c r="G10" s="77">
        <f>'💰 Income Planning'!F28</f>
        <v>0</v>
      </c>
      <c r="H10" s="77">
        <f>'💰 Income Planning'!F28</f>
        <v>0</v>
      </c>
      <c r="I10" s="77">
        <f>'💰 Income Planning'!F28</f>
        <v>0</v>
      </c>
      <c r="J10" s="77">
        <f>'💰 Income Planning'!F28</f>
        <v>0</v>
      </c>
      <c r="K10" s="77">
        <f>'💰 Income Planning'!F28</f>
        <v>0</v>
      </c>
      <c r="L10" s="77">
        <f>'💰 Income Planning'!F28</f>
        <v>0</v>
      </c>
      <c r="M10" s="77">
        <f>'💰 Income Planning'!F28</f>
        <v>0</v>
      </c>
      <c r="N10" s="77">
        <f>'💰 Income Planning'!F28</f>
        <v>0</v>
      </c>
      <c r="O10" s="37">
        <f>'💰 Income Planning'!F28*12</f>
        <v>0</v>
      </c>
    </row>
    <row r="11" spans="1:22" ht="18" customHeight="1">
      <c r="B11" s="119" t="s">
        <v>432</v>
      </c>
      <c r="C11" s="41">
        <f>SUM(C5:C10)</f>
        <v>0</v>
      </c>
      <c r="D11" s="41">
        <f>SUM(D5:D10)</f>
        <v>0</v>
      </c>
      <c r="E11" s="41">
        <f>SUM(E5:E10)</f>
        <v>0</v>
      </c>
      <c r="F11" s="41">
        <f>SUM(F5:F10)</f>
        <v>0</v>
      </c>
      <c r="G11" s="41">
        <f>SUM(G5:G10)</f>
        <v>0</v>
      </c>
      <c r="H11" s="41">
        <f>SUM(H5:H10)</f>
        <v>0</v>
      </c>
      <c r="I11" s="41">
        <f>SUM(I5:I10)</f>
        <v>0</v>
      </c>
      <c r="J11" s="41">
        <f>SUM(J5:J10)</f>
        <v>0</v>
      </c>
      <c r="K11" s="41">
        <f>SUM(K5:K10)</f>
        <v>0</v>
      </c>
      <c r="L11" s="41">
        <f>SUM(L5:L10)</f>
        <v>0</v>
      </c>
      <c r="M11" s="41">
        <f>SUM(M5:M10)</f>
        <v>0</v>
      </c>
      <c r="N11" s="41">
        <f>SUM(N5:N10)</f>
        <v>0</v>
      </c>
      <c r="O11" s="41">
        <f>SUM(O5:O10)</f>
        <v>0</v>
      </c>
    </row>
    <row r="12" spans="1:22" ht="21.75" customHeight="1">
      <c r="B12" s="113" t="s">
        <v>433</v>
      </c>
      <c r="C12" s="78"/>
      <c r="D12" s="78"/>
      <c r="E12" s="78"/>
      <c r="F12" s="78"/>
      <c r="G12" s="78"/>
      <c r="H12" s="78"/>
      <c r="I12" s="78"/>
      <c r="J12" s="78"/>
      <c r="K12" s="78"/>
      <c r="L12" s="78"/>
      <c r="M12" s="78"/>
      <c r="N12" s="78"/>
      <c r="O12" s="78"/>
    </row>
    <row r="13" spans="1:22" ht="18" customHeight="1">
      <c r="B13" s="18" t="s">
        <v>434</v>
      </c>
      <c r="C13" s="79">
        <f>IF(CashflowLink="YES",'🏠 Household Expenditure'!G9/12,0)</f>
        <v>0</v>
      </c>
      <c r="D13" s="79">
        <f>IF(CashflowLink="YES",'🏠 Household Expenditure'!G9/12,0)</f>
        <v>0</v>
      </c>
      <c r="E13" s="79">
        <f>IF(CashflowLink="YES",'🏠 Household Expenditure'!G9/12,0)</f>
        <v>0</v>
      </c>
      <c r="F13" s="79">
        <f>IF(CashflowLink="YES",'🏠 Household Expenditure'!G9/12,0)</f>
        <v>0</v>
      </c>
      <c r="G13" s="79">
        <f>IF(CashflowLink="YES",'🏠 Household Expenditure'!G9/12,0)</f>
        <v>0</v>
      </c>
      <c r="H13" s="79">
        <f>IF(CashflowLink="YES",'🏠 Household Expenditure'!G9/12,0)</f>
        <v>0</v>
      </c>
      <c r="I13" s="79">
        <f>IF(CashflowLink="YES",'🏠 Household Expenditure'!G9/12,0)</f>
        <v>0</v>
      </c>
      <c r="J13" s="79">
        <f>IF(CashflowLink="YES",'🏠 Household Expenditure'!G9/12,0)</f>
        <v>0</v>
      </c>
      <c r="K13" s="79">
        <f>IF(CashflowLink="YES",'🏠 Household Expenditure'!G9/12,0)</f>
        <v>0</v>
      </c>
      <c r="L13" s="79">
        <f>IF(CashflowLink="YES",'🏠 Household Expenditure'!G9/12,0)</f>
        <v>0</v>
      </c>
      <c r="M13" s="79">
        <f>IF(CashflowLink="YES",'🏠 Household Expenditure'!G9/12,0)</f>
        <v>0</v>
      </c>
      <c r="N13" s="79">
        <f>IF(CashflowLink="YES",'🏠 Household Expenditure'!G9/12,0)</f>
        <v>0</v>
      </c>
      <c r="O13" s="37">
        <f>SUM(C13:N13)</f>
        <v>0</v>
      </c>
    </row>
    <row r="14" spans="1:22" ht="18" customHeight="1">
      <c r="B14" s="22" t="s">
        <v>435</v>
      </c>
      <c r="C14" s="79">
        <f>IF(CashflowLink="YES",('🏠 Household Expenditure'!G19+'🏠 Household Expenditure'!G23)/12,0)</f>
        <v>0</v>
      </c>
      <c r="D14" s="79">
        <f>IF(CashflowLink="YES",('🏠 Household Expenditure'!G19+'🏠 Household Expenditure'!G23)/12,0)</f>
        <v>0</v>
      </c>
      <c r="E14" s="79">
        <f>IF(CashflowLink="YES",('🏠 Household Expenditure'!G19+'🏠 Household Expenditure'!G23)/12,0)</f>
        <v>0</v>
      </c>
      <c r="F14" s="79">
        <f>IF(CashflowLink="YES",('🏠 Household Expenditure'!G19+'🏠 Household Expenditure'!G23)/12,0)</f>
        <v>0</v>
      </c>
      <c r="G14" s="79">
        <f>IF(CashflowLink="YES",('🏠 Household Expenditure'!G19+'🏠 Household Expenditure'!G23)/12,0)</f>
        <v>0</v>
      </c>
      <c r="H14" s="79">
        <f>IF(CashflowLink="YES",('🏠 Household Expenditure'!G19+'🏠 Household Expenditure'!G23)/12,0)</f>
        <v>0</v>
      </c>
      <c r="I14" s="79">
        <f>IF(CashflowLink="YES",('🏠 Household Expenditure'!G19+'🏠 Household Expenditure'!G23)/12,0)</f>
        <v>0</v>
      </c>
      <c r="J14" s="79">
        <f>IF(CashflowLink="YES",('🏠 Household Expenditure'!G19+'🏠 Household Expenditure'!G23)/12,0)</f>
        <v>0</v>
      </c>
      <c r="K14" s="79">
        <f>IF(CashflowLink="YES",('🏠 Household Expenditure'!G19+'🏠 Household Expenditure'!G23)/12,0)</f>
        <v>0</v>
      </c>
      <c r="L14" s="79">
        <f>IF(CashflowLink="YES",('🏠 Household Expenditure'!G19+'🏠 Household Expenditure'!G23)/12,0)</f>
        <v>0</v>
      </c>
      <c r="M14" s="79">
        <f>IF(CashflowLink="YES",('🏠 Household Expenditure'!G19+'🏠 Household Expenditure'!G23)/12,0)</f>
        <v>0</v>
      </c>
      <c r="N14" s="79">
        <f>IF(CashflowLink="YES",('🏠 Household Expenditure'!G19+'🏠 Household Expenditure'!G23)/12,0)</f>
        <v>0</v>
      </c>
      <c r="O14" s="37">
        <f>SUM(C14:N14)</f>
        <v>0</v>
      </c>
    </row>
    <row r="15" spans="1:22" ht="18" customHeight="1">
      <c r="B15" s="39" t="s">
        <v>436</v>
      </c>
      <c r="C15" s="79">
        <f>IF(CashflowLink="YES",'🏠 Household Expenditure'!G29/12,0)</f>
        <v>0</v>
      </c>
      <c r="D15" s="79">
        <f>IF(CashflowLink="YES",'🏠 Household Expenditure'!G29/12,0)</f>
        <v>0</v>
      </c>
      <c r="E15" s="79">
        <f>IF(CashflowLink="YES",'🏠 Household Expenditure'!G29/12,0)</f>
        <v>0</v>
      </c>
      <c r="F15" s="79">
        <f>IF(CashflowLink="YES",'🏠 Household Expenditure'!G29/12,0)</f>
        <v>0</v>
      </c>
      <c r="G15" s="79">
        <f>IF(CashflowLink="YES",'🏠 Household Expenditure'!G29/12,0)</f>
        <v>0</v>
      </c>
      <c r="H15" s="79">
        <f>IF(CashflowLink="YES",'🏠 Household Expenditure'!G29/12,0)</f>
        <v>0</v>
      </c>
      <c r="I15" s="79">
        <f>IF(CashflowLink="YES",'🏠 Household Expenditure'!G29/12,0)</f>
        <v>0</v>
      </c>
      <c r="J15" s="79">
        <f>IF(CashflowLink="YES",'🏠 Household Expenditure'!G29/12,0)</f>
        <v>0</v>
      </c>
      <c r="K15" s="79">
        <f>IF(CashflowLink="YES",'🏠 Household Expenditure'!G29/12,0)</f>
        <v>0</v>
      </c>
      <c r="L15" s="79">
        <f>IF(CashflowLink="YES",'🏠 Household Expenditure'!G29/12,0)</f>
        <v>0</v>
      </c>
      <c r="M15" s="79">
        <f>IF(CashflowLink="YES",'🏠 Household Expenditure'!G29/12,0)</f>
        <v>0</v>
      </c>
      <c r="N15" s="79">
        <f>IF(CashflowLink="YES",'🏠 Household Expenditure'!G29/12,0)</f>
        <v>0</v>
      </c>
      <c r="O15" s="37">
        <f>SUM(C15:N15)</f>
        <v>0</v>
      </c>
    </row>
    <row r="16" spans="1:22" ht="18" customHeight="1">
      <c r="B16" s="22" t="s">
        <v>437</v>
      </c>
      <c r="C16" s="79">
        <f>IF(CashflowLink="YES",'🏠 Household Expenditure'!G65/12,0)</f>
        <v>0</v>
      </c>
      <c r="D16" s="79">
        <f>IF(CashflowLink="YES",'🏠 Household Expenditure'!G65/12,0)</f>
        <v>0</v>
      </c>
      <c r="E16" s="79">
        <f>IF(CashflowLink="YES",'🏠 Household Expenditure'!G65/12,0)</f>
        <v>0</v>
      </c>
      <c r="F16" s="79">
        <f>IF(CashflowLink="YES",'🏠 Household Expenditure'!G65/12,0)</f>
        <v>0</v>
      </c>
      <c r="G16" s="79">
        <f>IF(CashflowLink="YES",'🏠 Household Expenditure'!G65/12,0)</f>
        <v>0</v>
      </c>
      <c r="H16" s="79">
        <f>IF(CashflowLink="YES",'🏠 Household Expenditure'!G65/12,0)</f>
        <v>0</v>
      </c>
      <c r="I16" s="79">
        <f>IF(CashflowLink="YES",'🏠 Household Expenditure'!G65/12,0)</f>
        <v>0</v>
      </c>
      <c r="J16" s="79">
        <f>IF(CashflowLink="YES",'🏠 Household Expenditure'!G65/12,0)</f>
        <v>0</v>
      </c>
      <c r="K16" s="79">
        <f>IF(CashflowLink="YES",'🏠 Household Expenditure'!G65/12,0)</f>
        <v>0</v>
      </c>
      <c r="L16" s="79">
        <f>IF(CashflowLink="YES",'🏠 Household Expenditure'!G65/12,0)</f>
        <v>0</v>
      </c>
      <c r="M16" s="79">
        <f>IF(CashflowLink="YES",'🏠 Household Expenditure'!G65/12,0)</f>
        <v>0</v>
      </c>
      <c r="N16" s="79">
        <f>IF(CashflowLink="YES",'🏠 Household Expenditure'!G65/12,0)</f>
        <v>0</v>
      </c>
      <c r="O16" s="37">
        <f>SUM(C16:N16)</f>
        <v>0</v>
      </c>
    </row>
    <row r="17" spans="2:15" ht="18" customHeight="1">
      <c r="B17" s="39" t="s">
        <v>438</v>
      </c>
      <c r="C17" s="79">
        <f>IF(CashflowLink="YES",'🏠 Household Expenditure'!G35/12,0)</f>
        <v>0</v>
      </c>
      <c r="D17" s="79">
        <f>IF(CashflowLink="YES",'🏠 Household Expenditure'!G35/12,0)</f>
        <v>0</v>
      </c>
      <c r="E17" s="79">
        <f>IF(CashflowLink="YES",'🏠 Household Expenditure'!G35/12,0)</f>
        <v>0</v>
      </c>
      <c r="F17" s="79">
        <f>IF(CashflowLink="YES",'🏠 Household Expenditure'!G35/12,0)</f>
        <v>0</v>
      </c>
      <c r="G17" s="79">
        <f>IF(CashflowLink="YES",'🏠 Household Expenditure'!G35/12,0)</f>
        <v>0</v>
      </c>
      <c r="H17" s="79">
        <f>IF(CashflowLink="YES",'🏠 Household Expenditure'!G35/12,0)</f>
        <v>0</v>
      </c>
      <c r="I17" s="79">
        <f>IF(CashflowLink="YES",'🏠 Household Expenditure'!G35/12,0)</f>
        <v>0</v>
      </c>
      <c r="J17" s="79">
        <f>IF(CashflowLink="YES",'🏠 Household Expenditure'!G35/12,0)</f>
        <v>0</v>
      </c>
      <c r="K17" s="79">
        <f>IF(CashflowLink="YES",'🏠 Household Expenditure'!G35/12,0)</f>
        <v>0</v>
      </c>
      <c r="L17" s="79">
        <f>IF(CashflowLink="YES",'🏠 Household Expenditure'!G35/12,0)</f>
        <v>0</v>
      </c>
      <c r="M17" s="79">
        <f>IF(CashflowLink="YES",'🏠 Household Expenditure'!G35/12,0)</f>
        <v>0</v>
      </c>
      <c r="N17" s="79">
        <f>IF(CashflowLink="YES",'🏠 Household Expenditure'!G35/12,0)</f>
        <v>0</v>
      </c>
      <c r="O17" s="37">
        <f>SUM(C17:N17)</f>
        <v>0</v>
      </c>
    </row>
    <row r="18" spans="2:15" ht="18" customHeight="1">
      <c r="B18" s="50" t="s">
        <v>439</v>
      </c>
      <c r="C18" s="41">
        <f>SUM(C13:C17)</f>
        <v>0</v>
      </c>
      <c r="D18" s="41">
        <f>SUM(D13:D17)</f>
        <v>0</v>
      </c>
      <c r="E18" s="41">
        <f>SUM(E13:E17)</f>
        <v>0</v>
      </c>
      <c r="F18" s="41">
        <f>SUM(F13:F17)</f>
        <v>0</v>
      </c>
      <c r="G18" s="41">
        <f>SUM(G13:G17)</f>
        <v>0</v>
      </c>
      <c r="H18" s="41">
        <f>SUM(H13:H17)</f>
        <v>0</v>
      </c>
      <c r="I18" s="41">
        <f>SUM(I13:I17)</f>
        <v>0</v>
      </c>
      <c r="J18" s="41">
        <f>SUM(J13:J17)</f>
        <v>0</v>
      </c>
      <c r="K18" s="41">
        <f>SUM(K13:K17)</f>
        <v>0</v>
      </c>
      <c r="L18" s="41">
        <f>SUM(L13:L17)</f>
        <v>0</v>
      </c>
      <c r="M18" s="41">
        <f>SUM(M13:M17)</f>
        <v>0</v>
      </c>
      <c r="N18" s="41">
        <f>SUM(N13:N17)</f>
        <v>0</v>
      </c>
      <c r="O18" s="41">
        <f>SUM(O13:O17)</f>
        <v>0</v>
      </c>
    </row>
    <row r="19" spans="2:15" ht="21.75" customHeight="1">
      <c r="B19" s="113" t="s">
        <v>366</v>
      </c>
      <c r="C19" s="78"/>
      <c r="D19" s="78"/>
      <c r="E19" s="78"/>
      <c r="F19" s="78"/>
      <c r="G19" s="78"/>
      <c r="H19" s="78"/>
      <c r="I19" s="78"/>
      <c r="J19" s="78"/>
      <c r="K19" s="78"/>
      <c r="L19" s="78"/>
      <c r="M19" s="78"/>
      <c r="N19" s="78"/>
      <c r="O19" s="78"/>
    </row>
    <row r="20" spans="2:15" ht="18" customHeight="1">
      <c r="B20" s="22" t="s">
        <v>440</v>
      </c>
      <c r="C20" s="79">
        <f>IF(CashflowLink="YES",0,0)</f>
        <v>0</v>
      </c>
      <c r="D20" s="79">
        <f>IF(CashflowLink="YES",'🏠 Household Expenditure'!G81*0.6/4,0)</f>
        <v>0</v>
      </c>
      <c r="E20" s="79">
        <f>IF(CashflowLink="YES",0,0)</f>
        <v>0</v>
      </c>
      <c r="F20" s="79">
        <f>IF(CashflowLink="YES",0,0)</f>
        <v>0</v>
      </c>
      <c r="G20" s="79">
        <f>IF(CashflowLink="YES",0,0)</f>
        <v>0</v>
      </c>
      <c r="H20" s="79">
        <f>IF(CashflowLink="YES",0,0)</f>
        <v>0</v>
      </c>
      <c r="I20" s="79">
        <f>IF(CashflowLink="YES",0,0)</f>
        <v>0</v>
      </c>
      <c r="J20" s="79">
        <f>IF(CashflowLink="YES",0,0)</f>
        <v>0</v>
      </c>
      <c r="K20" s="79">
        <f>IF(CashflowLink="YES",0,0)</f>
        <v>0</v>
      </c>
      <c r="L20" s="79">
        <f>IF(CashflowLink="YES",0,0)</f>
        <v>0</v>
      </c>
      <c r="M20" s="79">
        <f>IF(CashflowLink="YES",0,0)</f>
        <v>0</v>
      </c>
      <c r="N20" s="79">
        <f>IF(CashflowLink="YES",0,0)</f>
        <v>0</v>
      </c>
      <c r="O20" s="37">
        <f>SUM(C20:N20)</f>
        <v>0</v>
      </c>
    </row>
    <row r="21" spans="2:15" ht="18" customHeight="1">
      <c r="B21" s="39" t="s">
        <v>441</v>
      </c>
      <c r="C21" s="79">
        <f>IF(CashflowLink="YES",0,0)</f>
        <v>0</v>
      </c>
      <c r="D21" s="79">
        <f>IF(CashflowLink="YES",0,0)</f>
        <v>0</v>
      </c>
      <c r="E21" s="79">
        <f>IF(CashflowLink="YES",0,0)</f>
        <v>0</v>
      </c>
      <c r="F21" s="79">
        <f>IF(CashflowLink="YES",0,0)</f>
        <v>0</v>
      </c>
      <c r="G21" s="79">
        <f>IF(CashflowLink="YES",'🏠 Household Expenditure'!G81*0.6/4,0)</f>
        <v>0</v>
      </c>
      <c r="H21" s="79">
        <f>IF(CashflowLink="YES",0,0)</f>
        <v>0</v>
      </c>
      <c r="I21" s="79">
        <f>IF(CashflowLink="YES",0,0)</f>
        <v>0</v>
      </c>
      <c r="J21" s="79">
        <f>IF(CashflowLink="YES",0,0)</f>
        <v>0</v>
      </c>
      <c r="K21" s="79">
        <f>IF(CashflowLink="YES",0,0)</f>
        <v>0</v>
      </c>
      <c r="L21" s="79">
        <f>IF(CashflowLink="YES",0,0)</f>
        <v>0</v>
      </c>
      <c r="M21" s="79">
        <f>IF(CashflowLink="YES",0,0)</f>
        <v>0</v>
      </c>
      <c r="N21" s="79">
        <f>IF(CashflowLink="YES",0,0)</f>
        <v>0</v>
      </c>
      <c r="O21" s="37">
        <f>SUM(C21:N21)</f>
        <v>0</v>
      </c>
    </row>
    <row r="22" spans="2:15" ht="18" customHeight="1">
      <c r="B22" s="22" t="s">
        <v>442</v>
      </c>
      <c r="C22" s="79">
        <f>IF(CashflowLink="YES",0,0)</f>
        <v>0</v>
      </c>
      <c r="D22" s="79">
        <f>IF(CashflowLink="YES",0,0)</f>
        <v>0</v>
      </c>
      <c r="E22" s="79">
        <f>IF(CashflowLink="YES",0,0)</f>
        <v>0</v>
      </c>
      <c r="F22" s="79">
        <f>IF(CashflowLink="YES",0,0)</f>
        <v>0</v>
      </c>
      <c r="G22" s="79">
        <f>IF(CashflowLink="YES",0,0)</f>
        <v>0</v>
      </c>
      <c r="H22" s="79">
        <f>IF(CashflowLink="YES",0,0)</f>
        <v>0</v>
      </c>
      <c r="I22" s="79">
        <f>IF(CashflowLink="YES",'🏠 Household Expenditure'!G81*0.6/4,0)</f>
        <v>0</v>
      </c>
      <c r="J22" s="79">
        <f>IF(CashflowLink="YES",0,0)</f>
        <v>0</v>
      </c>
      <c r="K22" s="79">
        <f>IF(CashflowLink="YES",0,0)</f>
        <v>0</v>
      </c>
      <c r="L22" s="79">
        <f>IF(CashflowLink="YES",0,0)</f>
        <v>0</v>
      </c>
      <c r="M22" s="79">
        <f>IF(CashflowLink="YES",0,0)</f>
        <v>0</v>
      </c>
      <c r="N22" s="79">
        <f>IF(CashflowLink="YES",0,0)</f>
        <v>0</v>
      </c>
      <c r="O22" s="37">
        <f>SUM(C22:N22)</f>
        <v>0</v>
      </c>
    </row>
    <row r="23" spans="2:15" ht="18" customHeight="1">
      <c r="B23" s="39" t="s">
        <v>443</v>
      </c>
      <c r="C23" s="79">
        <f>IF(CashflowLink="YES",0,0)</f>
        <v>0</v>
      </c>
      <c r="D23" s="79">
        <f>IF(CashflowLink="YES",0,0)</f>
        <v>0</v>
      </c>
      <c r="E23" s="79">
        <f>IF(CashflowLink="YES",0,0)</f>
        <v>0</v>
      </c>
      <c r="F23" s="79">
        <f>IF(CashflowLink="YES",0,0)</f>
        <v>0</v>
      </c>
      <c r="G23" s="79">
        <f>IF(CashflowLink="YES",0,0)</f>
        <v>0</v>
      </c>
      <c r="H23" s="79">
        <f>IF(CashflowLink="YES",0,0)</f>
        <v>0</v>
      </c>
      <c r="I23" s="79">
        <f>IF(CashflowLink="YES",0,0)</f>
        <v>0</v>
      </c>
      <c r="J23" s="79">
        <f>IF(CashflowLink="YES",0,0)</f>
        <v>0</v>
      </c>
      <c r="K23" s="79">
        <f>IF(CashflowLink="YES",0,0)</f>
        <v>0</v>
      </c>
      <c r="L23" s="79">
        <f>IF(CashflowLink="YES",'🏠 Household Expenditure'!G81*0.6/4,0)</f>
        <v>0</v>
      </c>
      <c r="M23" s="79">
        <f>IF(CashflowLink="YES",0,0)</f>
        <v>0</v>
      </c>
      <c r="N23" s="79">
        <f>IF(CashflowLink="YES",0,0)</f>
        <v>0</v>
      </c>
      <c r="O23" s="37">
        <f>SUM(C23:N23)</f>
        <v>0</v>
      </c>
    </row>
    <row r="24" spans="2:15" ht="18" customHeight="1">
      <c r="B24" s="15" t="s">
        <v>444</v>
      </c>
      <c r="C24" s="79">
        <f>IF(CashflowLink="YES",'🏠 Household Expenditure'!G81*0.2/12,0)</f>
        <v>0</v>
      </c>
      <c r="D24" s="79">
        <f>IF(CashflowLink="YES",'🏠 Household Expenditure'!G81*0.2/12,0)</f>
        <v>0</v>
      </c>
      <c r="E24" s="79">
        <f>IF(CashflowLink="YES",'🏠 Household Expenditure'!G81*0.2/12,0)</f>
        <v>0</v>
      </c>
      <c r="F24" s="79">
        <f>IF(CashflowLink="YES",'🏠 Household Expenditure'!G81*0.2/12,0)</f>
        <v>0</v>
      </c>
      <c r="G24" s="79">
        <f>IF(CashflowLink="YES",'🏠 Household Expenditure'!G81*0.2/12,0)</f>
        <v>0</v>
      </c>
      <c r="H24" s="79">
        <f>IF(CashflowLink="YES",'🏠 Household Expenditure'!G81*0.2/12,0)</f>
        <v>0</v>
      </c>
      <c r="I24" s="79">
        <f>IF(CashflowLink="YES",'🏠 Household Expenditure'!G81*0.2/12,0)</f>
        <v>0</v>
      </c>
      <c r="J24" s="79">
        <f>IF(CashflowLink="YES",'🏠 Household Expenditure'!G81*0.2/12,0)</f>
        <v>0</v>
      </c>
      <c r="K24" s="79">
        <f>IF(CashflowLink="YES",'🏠 Household Expenditure'!G81*0.2/12,0)</f>
        <v>0</v>
      </c>
      <c r="L24" s="79">
        <f>IF(CashflowLink="YES",'🏠 Household Expenditure'!G81*0.2/12,0)</f>
        <v>0</v>
      </c>
      <c r="M24" s="79">
        <f>IF(CashflowLink="YES",'🏠 Household Expenditure'!G81*0.2/12,0)</f>
        <v>0</v>
      </c>
      <c r="N24" s="79">
        <f>IF(CashflowLink="YES",'🏠 Household Expenditure'!G81*0.2/12,0)</f>
        <v>0</v>
      </c>
      <c r="O24" s="37">
        <f>SUM(C24:N24)</f>
        <v>0</v>
      </c>
    </row>
    <row r="25" spans="2:15" ht="18" customHeight="1">
      <c r="B25" s="18" t="s">
        <v>445</v>
      </c>
      <c r="C25" s="79">
        <f>IF(CashflowLink="YES",'🏠 Household Expenditure'!G81*0.2/12,0)</f>
        <v>0</v>
      </c>
      <c r="D25" s="79">
        <f>IF(CashflowLink="YES",'🏠 Household Expenditure'!G81*0.2/12,0)</f>
        <v>0</v>
      </c>
      <c r="E25" s="79">
        <f>IF(CashflowLink="YES",'🏠 Household Expenditure'!G81*0.2/12,0)</f>
        <v>0</v>
      </c>
      <c r="F25" s="79">
        <f>IF(CashflowLink="YES",'🏠 Household Expenditure'!G81*0.2/12,0)</f>
        <v>0</v>
      </c>
      <c r="G25" s="79">
        <f>IF(CashflowLink="YES",'🏠 Household Expenditure'!G81*0.2/12,0)</f>
        <v>0</v>
      </c>
      <c r="H25" s="79">
        <f>IF(CashflowLink="YES",'🏠 Household Expenditure'!G81*0.2/12,0)</f>
        <v>0</v>
      </c>
      <c r="I25" s="79">
        <f>IF(CashflowLink="YES",'🏠 Household Expenditure'!G81*0.2/12,0)</f>
        <v>0</v>
      </c>
      <c r="J25" s="79">
        <f>IF(CashflowLink="YES",'🏠 Household Expenditure'!G81*0.2/12,0)</f>
        <v>0</v>
      </c>
      <c r="K25" s="79">
        <f>IF(CashflowLink="YES",'🏠 Household Expenditure'!G81*0.2/12,0)</f>
        <v>0</v>
      </c>
      <c r="L25" s="79">
        <f>IF(CashflowLink="YES",'🏠 Household Expenditure'!G81*0.2/12,0)</f>
        <v>0</v>
      </c>
      <c r="M25" s="79">
        <f>IF(CashflowLink="YES",'🏠 Household Expenditure'!G81*0.2/12,0)</f>
        <v>0</v>
      </c>
      <c r="N25" s="79">
        <f>IF(CashflowLink="YES",'🏠 Household Expenditure'!G81*0.2/12,0)</f>
        <v>0</v>
      </c>
      <c r="O25" s="37">
        <f>SUM(C25:N25)</f>
        <v>0</v>
      </c>
    </row>
    <row r="26" spans="2:15" ht="18" customHeight="1">
      <c r="B26" s="50" t="s">
        <v>373</v>
      </c>
      <c r="C26" s="41">
        <f>SUM(C20:C25)</f>
        <v>0</v>
      </c>
      <c r="D26" s="41">
        <f>SUM(D20:D25)</f>
        <v>0</v>
      </c>
      <c r="E26" s="41">
        <f>SUM(E20:E25)</f>
        <v>0</v>
      </c>
      <c r="F26" s="41">
        <f>SUM(F20:F25)</f>
        <v>0</v>
      </c>
      <c r="G26" s="41">
        <f>SUM(G20:G25)</f>
        <v>0</v>
      </c>
      <c r="H26" s="41">
        <f>SUM(H20:H25)</f>
        <v>0</v>
      </c>
      <c r="I26" s="41">
        <f>SUM(I20:I25)</f>
        <v>0</v>
      </c>
      <c r="J26" s="41">
        <f>SUM(J20:J25)</f>
        <v>0</v>
      </c>
      <c r="K26" s="41">
        <f>SUM(K20:K25)</f>
        <v>0</v>
      </c>
      <c r="L26" s="41">
        <f>SUM(L20:L25)</f>
        <v>0</v>
      </c>
      <c r="M26" s="41">
        <f>SUM(M20:M25)</f>
        <v>0</v>
      </c>
      <c r="N26" s="41">
        <f>SUM(N20:N25)</f>
        <v>0</v>
      </c>
      <c r="O26" s="41">
        <f>SUM(O20:O25)</f>
        <v>0</v>
      </c>
    </row>
    <row r="27" spans="2:15" ht="21.75" customHeight="1">
      <c r="B27" s="113" t="s">
        <v>446</v>
      </c>
      <c r="C27" s="78"/>
      <c r="D27" s="78"/>
      <c r="E27" s="78"/>
      <c r="F27" s="78"/>
      <c r="G27" s="78"/>
      <c r="H27" s="78"/>
      <c r="I27" s="78"/>
      <c r="J27" s="78"/>
      <c r="K27" s="78"/>
      <c r="L27" s="78"/>
      <c r="M27" s="78"/>
      <c r="N27" s="78"/>
      <c r="O27" s="78"/>
    </row>
    <row r="28" spans="2:15" ht="18" customHeight="1">
      <c r="B28" s="15" t="s">
        <v>447</v>
      </c>
      <c r="C28" s="42">
        <v>0</v>
      </c>
      <c r="D28" s="42">
        <v>0</v>
      </c>
      <c r="E28" s="42">
        <v>0</v>
      </c>
      <c r="F28" s="42">
        <v>0</v>
      </c>
      <c r="G28" s="42">
        <v>0</v>
      </c>
      <c r="H28" s="42">
        <v>0</v>
      </c>
      <c r="I28" s="42">
        <v>0</v>
      </c>
      <c r="J28" s="42">
        <v>0</v>
      </c>
      <c r="K28" s="42">
        <v>0</v>
      </c>
      <c r="L28" s="42">
        <v>0</v>
      </c>
      <c r="M28" s="42">
        <v>0</v>
      </c>
      <c r="N28" s="42">
        <v>0</v>
      </c>
      <c r="O28" s="37">
        <f>SUM(C28:N28)</f>
        <v>0</v>
      </c>
    </row>
    <row r="29" spans="2:15" ht="18" customHeight="1">
      <c r="B29" s="39" t="s">
        <v>448</v>
      </c>
      <c r="C29" s="42">
        <v>0</v>
      </c>
      <c r="D29" s="42">
        <v>0</v>
      </c>
      <c r="E29" s="42">
        <v>0</v>
      </c>
      <c r="F29" s="42">
        <v>0</v>
      </c>
      <c r="G29" s="42">
        <v>0</v>
      </c>
      <c r="H29" s="42">
        <v>0</v>
      </c>
      <c r="I29" s="42">
        <v>0</v>
      </c>
      <c r="J29" s="42">
        <v>0</v>
      </c>
      <c r="K29" s="42">
        <v>0</v>
      </c>
      <c r="L29" s="42">
        <v>0</v>
      </c>
      <c r="M29" s="42">
        <v>0</v>
      </c>
      <c r="N29" s="42">
        <v>0</v>
      </c>
      <c r="O29" s="37">
        <f>SUM(C29:N29)</f>
        <v>0</v>
      </c>
    </row>
    <row r="30" spans="2:15" ht="18" customHeight="1">
      <c r="B30" s="22" t="s">
        <v>449</v>
      </c>
      <c r="C30" s="42">
        <v>0</v>
      </c>
      <c r="D30" s="42">
        <v>0</v>
      </c>
      <c r="E30" s="42">
        <v>0</v>
      </c>
      <c r="F30" s="42">
        <v>0</v>
      </c>
      <c r="G30" s="42">
        <v>0</v>
      </c>
      <c r="H30" s="42">
        <v>0</v>
      </c>
      <c r="I30" s="42">
        <v>0</v>
      </c>
      <c r="J30" s="42">
        <v>0</v>
      </c>
      <c r="K30" s="42">
        <v>0</v>
      </c>
      <c r="L30" s="42">
        <v>0</v>
      </c>
      <c r="M30" s="42">
        <v>0</v>
      </c>
      <c r="N30" s="42">
        <v>0</v>
      </c>
      <c r="O30" s="37">
        <f>SUM(C30:N30)</f>
        <v>0</v>
      </c>
    </row>
    <row r="31" spans="2:15" ht="18" customHeight="1">
      <c r="B31" s="18" t="s">
        <v>450</v>
      </c>
      <c r="C31" s="42">
        <v>0</v>
      </c>
      <c r="D31" s="42">
        <v>0</v>
      </c>
      <c r="E31" s="42">
        <v>0</v>
      </c>
      <c r="F31" s="42">
        <v>0</v>
      </c>
      <c r="G31" s="42">
        <v>0</v>
      </c>
      <c r="H31" s="42">
        <v>0</v>
      </c>
      <c r="I31" s="42">
        <v>0</v>
      </c>
      <c r="J31" s="42">
        <v>0</v>
      </c>
      <c r="K31" s="42">
        <v>0</v>
      </c>
      <c r="L31" s="42">
        <v>0</v>
      </c>
      <c r="M31" s="42">
        <v>0</v>
      </c>
      <c r="N31" s="42">
        <v>0</v>
      </c>
      <c r="O31" s="37">
        <f>SUM(C31:N31)</f>
        <v>0</v>
      </c>
    </row>
    <row r="32" spans="2:15" ht="18" customHeight="1">
      <c r="B32" s="15" t="s">
        <v>451</v>
      </c>
      <c r="C32" s="42">
        <v>0</v>
      </c>
      <c r="D32" s="42">
        <v>0</v>
      </c>
      <c r="E32" s="42">
        <v>0</v>
      </c>
      <c r="F32" s="42">
        <v>0</v>
      </c>
      <c r="G32" s="42">
        <v>0</v>
      </c>
      <c r="H32" s="42">
        <v>0</v>
      </c>
      <c r="I32" s="42">
        <v>0</v>
      </c>
      <c r="J32" s="42">
        <v>0</v>
      </c>
      <c r="K32" s="42">
        <v>0</v>
      </c>
      <c r="L32" s="42">
        <v>0</v>
      </c>
      <c r="M32" s="42">
        <v>0</v>
      </c>
      <c r="N32" s="42">
        <v>0</v>
      </c>
      <c r="O32" s="37">
        <f>SUM(C32:N32)</f>
        <v>0</v>
      </c>
    </row>
    <row r="33" spans="2:15" ht="18" customHeight="1">
      <c r="B33" s="18" t="s">
        <v>452</v>
      </c>
      <c r="C33" s="42">
        <v>0</v>
      </c>
      <c r="D33" s="42">
        <v>0</v>
      </c>
      <c r="E33" s="42">
        <v>0</v>
      </c>
      <c r="F33" s="42">
        <v>0</v>
      </c>
      <c r="G33" s="42">
        <v>0</v>
      </c>
      <c r="H33" s="42">
        <v>0</v>
      </c>
      <c r="I33" s="42">
        <v>0</v>
      </c>
      <c r="J33" s="42">
        <v>0</v>
      </c>
      <c r="K33" s="42">
        <v>0</v>
      </c>
      <c r="L33" s="42">
        <v>0</v>
      </c>
      <c r="M33" s="42">
        <v>0</v>
      </c>
      <c r="N33" s="42">
        <v>0</v>
      </c>
      <c r="O33" s="37">
        <f>SUM(C33:N33)</f>
        <v>0</v>
      </c>
    </row>
    <row r="34" spans="2:15" ht="18" customHeight="1">
      <c r="B34" s="22" t="s">
        <v>453</v>
      </c>
      <c r="C34" s="42">
        <v>0</v>
      </c>
      <c r="D34" s="42">
        <v>0</v>
      </c>
      <c r="E34" s="42">
        <v>0</v>
      </c>
      <c r="F34" s="42">
        <v>0</v>
      </c>
      <c r="G34" s="42">
        <v>0</v>
      </c>
      <c r="H34" s="42">
        <v>0</v>
      </c>
      <c r="I34" s="42">
        <v>0</v>
      </c>
      <c r="J34" s="42">
        <v>0</v>
      </c>
      <c r="K34" s="42">
        <v>0</v>
      </c>
      <c r="L34" s="42">
        <v>0</v>
      </c>
      <c r="M34" s="42">
        <v>0</v>
      </c>
      <c r="N34" s="42">
        <v>0</v>
      </c>
      <c r="O34" s="37">
        <f>SUM(C34:N34)</f>
        <v>0</v>
      </c>
    </row>
    <row r="35" spans="2:15" ht="18" customHeight="1">
      <c r="B35" s="39" t="s">
        <v>454</v>
      </c>
      <c r="C35" s="42">
        <v>0</v>
      </c>
      <c r="D35" s="42">
        <v>0</v>
      </c>
      <c r="E35" s="42">
        <v>0</v>
      </c>
      <c r="F35" s="42">
        <v>0</v>
      </c>
      <c r="G35" s="42">
        <v>0</v>
      </c>
      <c r="H35" s="42">
        <v>0</v>
      </c>
      <c r="I35" s="42">
        <v>0</v>
      </c>
      <c r="J35" s="42">
        <v>0</v>
      </c>
      <c r="K35" s="42">
        <v>0</v>
      </c>
      <c r="L35" s="42">
        <v>0</v>
      </c>
      <c r="M35" s="42">
        <v>0</v>
      </c>
      <c r="N35" s="42">
        <v>0</v>
      </c>
      <c r="O35" s="37">
        <f>SUM(C35:N35)</f>
        <v>0</v>
      </c>
    </row>
    <row r="36" spans="2:15" ht="32.25" customHeight="1">
      <c r="B36" s="50" t="s">
        <v>455</v>
      </c>
      <c r="C36" s="41">
        <f>SUM(C28:C35)</f>
        <v>0</v>
      </c>
      <c r="D36" s="41">
        <f>SUM(D28:D35)</f>
        <v>0</v>
      </c>
      <c r="E36" s="41">
        <f>SUM(E28:E35)</f>
        <v>0</v>
      </c>
      <c r="F36" s="41">
        <f>SUM(F28:F35)</f>
        <v>0</v>
      </c>
      <c r="G36" s="41">
        <f>SUM(G28:G35)</f>
        <v>0</v>
      </c>
      <c r="H36" s="41">
        <f>SUM(H28:H35)</f>
        <v>0</v>
      </c>
      <c r="I36" s="41">
        <f>SUM(I28:I35)</f>
        <v>0</v>
      </c>
      <c r="J36" s="41">
        <f>SUM(J28:J35)</f>
        <v>0</v>
      </c>
      <c r="K36" s="41">
        <f>SUM(K28:K35)</f>
        <v>0</v>
      </c>
      <c r="L36" s="41">
        <f>SUM(L28:L35)</f>
        <v>0</v>
      </c>
      <c r="M36" s="41">
        <f>SUM(M28:M35)</f>
        <v>0</v>
      </c>
      <c r="N36" s="41">
        <f>SUM(N28:N35)</f>
        <v>0</v>
      </c>
      <c r="O36" s="41">
        <f>SUM(O28:O35)</f>
        <v>0</v>
      </c>
    </row>
    <row r="37" spans="2:15" ht="21.75" customHeight="1">
      <c r="B37" s="113" t="s">
        <v>456</v>
      </c>
      <c r="C37" s="78"/>
      <c r="D37" s="78"/>
      <c r="E37" s="78"/>
      <c r="F37" s="78"/>
      <c r="G37" s="78"/>
      <c r="H37" s="78"/>
      <c r="I37" s="78"/>
      <c r="J37" s="78"/>
      <c r="K37" s="78"/>
      <c r="L37" s="78"/>
      <c r="M37" s="78"/>
      <c r="N37" s="78"/>
      <c r="O37" s="78"/>
    </row>
    <row r="38" spans="2:15" ht="18" customHeight="1">
      <c r="B38" s="15" t="str">
        <f>"PPOR Mortgage — "&amp;FamilyName&amp;" Home"</f>
        <v>PPOR Mortgage — Le Home</v>
      </c>
      <c r="C38" s="77">
        <f>'🏦 Debt Schedule'!H24</f>
        <v>0</v>
      </c>
      <c r="D38" s="77">
        <f>'🏦 Debt Schedule'!H24</f>
        <v>0</v>
      </c>
      <c r="E38" s="77">
        <f>'🏦 Debt Schedule'!H24</f>
        <v>0</v>
      </c>
      <c r="F38" s="77">
        <f>'🏦 Debt Schedule'!H24</f>
        <v>0</v>
      </c>
      <c r="G38" s="77">
        <f>'🏦 Debt Schedule'!H24</f>
        <v>0</v>
      </c>
      <c r="H38" s="77">
        <f>'🏦 Debt Schedule'!H24</f>
        <v>0</v>
      </c>
      <c r="I38" s="77">
        <f>'🏦 Debt Schedule'!H24</f>
        <v>0</v>
      </c>
      <c r="J38" s="77">
        <f>'🏦 Debt Schedule'!H24</f>
        <v>0</v>
      </c>
      <c r="K38" s="77">
        <f>'🏦 Debt Schedule'!H24</f>
        <v>0</v>
      </c>
      <c r="L38" s="77">
        <f>'🏦 Debt Schedule'!H24</f>
        <v>0</v>
      </c>
      <c r="M38" s="77">
        <f>'🏦 Debt Schedule'!H24</f>
        <v>0</v>
      </c>
      <c r="N38" s="77">
        <f>'🏦 Debt Schedule'!H24</f>
        <v>0</v>
      </c>
      <c r="O38" s="37">
        <f>SUM(C38:N38)</f>
        <v>0</v>
      </c>
    </row>
    <row r="39" spans="2:15" ht="18" customHeight="1">
      <c r="B39" s="18" t="s">
        <v>457</v>
      </c>
      <c r="C39" s="77">
        <f>IF('🏦 Debt Schedule'!H16&gt;0,'🏦 Debt Schedule'!H16/3,0)</f>
        <v>0</v>
      </c>
      <c r="D39" s="77">
        <f>IF('🏦 Debt Schedule'!H16&gt;0,'🏦 Debt Schedule'!H16/3,0)</f>
        <v>0</v>
      </c>
      <c r="E39" s="77">
        <f>IF('🏦 Debt Schedule'!H16&gt;0,'🏦 Debt Schedule'!H16/3,0)</f>
        <v>0</v>
      </c>
      <c r="F39" s="77">
        <f>IF('🏦 Debt Schedule'!H16&gt;0,'🏦 Debt Schedule'!H16/3,0)</f>
        <v>0</v>
      </c>
      <c r="G39" s="77">
        <f>IF('🏦 Debt Schedule'!H16&gt;0,'🏦 Debt Schedule'!H16/3,0)</f>
        <v>0</v>
      </c>
      <c r="H39" s="77">
        <f>IF('🏦 Debt Schedule'!H16&gt;0,'🏦 Debt Schedule'!H16/3,0)</f>
        <v>0</v>
      </c>
      <c r="I39" s="77">
        <f>IF('🏦 Debt Schedule'!H16&gt;0,'🏦 Debt Schedule'!H16/3,0)</f>
        <v>0</v>
      </c>
      <c r="J39" s="77">
        <f>IF('🏦 Debt Schedule'!H16&gt;0,'🏦 Debt Schedule'!H16/3,0)</f>
        <v>0</v>
      </c>
      <c r="K39" s="77">
        <f>IF('🏦 Debt Schedule'!H16&gt;0,'🏦 Debt Schedule'!H16/3,0)</f>
        <v>0</v>
      </c>
      <c r="L39" s="77">
        <f>IF('🏦 Debt Schedule'!H16&gt;0,'🏦 Debt Schedule'!H16/3,0)</f>
        <v>0</v>
      </c>
      <c r="M39" s="77">
        <f>IF('🏦 Debt Schedule'!H16&gt;0,'🏦 Debt Schedule'!H16/3,0)</f>
        <v>0</v>
      </c>
      <c r="N39" s="77">
        <f>IF('🏦 Debt Schedule'!H16&gt;0,'🏦 Debt Schedule'!H16/3,0)</f>
        <v>0</v>
      </c>
      <c r="O39" s="37">
        <f>SUM(C39:N39)</f>
        <v>0</v>
      </c>
    </row>
    <row r="40" spans="2:15" ht="18" customHeight="1">
      <c r="B40" s="15" t="s">
        <v>458</v>
      </c>
      <c r="C40" s="77">
        <f>IF('🏦 Debt Schedule'!H16&gt;0,'🏦 Debt Schedule'!H16/3,0)</f>
        <v>0</v>
      </c>
      <c r="D40" s="77">
        <f>IF('🏦 Debt Schedule'!H16&gt;0,'🏦 Debt Schedule'!H16/3,0)</f>
        <v>0</v>
      </c>
      <c r="E40" s="77">
        <f>IF('🏦 Debt Schedule'!H16&gt;0,'🏦 Debt Schedule'!H16/3,0)</f>
        <v>0</v>
      </c>
      <c r="F40" s="77">
        <f>IF('🏦 Debt Schedule'!H16&gt;0,'🏦 Debt Schedule'!H16/3,0)</f>
        <v>0</v>
      </c>
      <c r="G40" s="77">
        <f>IF('🏦 Debt Schedule'!H16&gt;0,'🏦 Debt Schedule'!H16/3,0)</f>
        <v>0</v>
      </c>
      <c r="H40" s="77">
        <f>IF('🏦 Debt Schedule'!H16&gt;0,'🏦 Debt Schedule'!H16/3,0)</f>
        <v>0</v>
      </c>
      <c r="I40" s="77">
        <f>IF('🏦 Debt Schedule'!H16&gt;0,'🏦 Debt Schedule'!H16/3,0)</f>
        <v>0</v>
      </c>
      <c r="J40" s="77">
        <f>IF('🏦 Debt Schedule'!H16&gt;0,'🏦 Debt Schedule'!H16/3,0)</f>
        <v>0</v>
      </c>
      <c r="K40" s="77">
        <f>IF('🏦 Debt Schedule'!H16&gt;0,'🏦 Debt Schedule'!H16/3,0)</f>
        <v>0</v>
      </c>
      <c r="L40" s="77">
        <f>IF('🏦 Debt Schedule'!H16&gt;0,'🏦 Debt Schedule'!H16/3,0)</f>
        <v>0</v>
      </c>
      <c r="M40" s="77">
        <f>IF('🏦 Debt Schedule'!H16&gt;0,'🏦 Debt Schedule'!H16/3,0)</f>
        <v>0</v>
      </c>
      <c r="N40" s="77">
        <f>IF('🏦 Debt Schedule'!H16&gt;0,'🏦 Debt Schedule'!H16/3,0)</f>
        <v>0</v>
      </c>
      <c r="O40" s="37">
        <f>SUM(C40:N40)</f>
        <v>0</v>
      </c>
    </row>
    <row r="41" spans="2:15" ht="18" customHeight="1">
      <c r="B41" s="18" t="s">
        <v>459</v>
      </c>
      <c r="C41" s="77">
        <f>IF('🏦 Debt Schedule'!H16&gt;0,'🏦 Debt Schedule'!H16/3,0)</f>
        <v>0</v>
      </c>
      <c r="D41" s="77">
        <f>IF('🏦 Debt Schedule'!H16&gt;0,'🏦 Debt Schedule'!H16/3,0)</f>
        <v>0</v>
      </c>
      <c r="E41" s="77">
        <f>IF('🏦 Debt Schedule'!H16&gt;0,'🏦 Debt Schedule'!H16/3,0)</f>
        <v>0</v>
      </c>
      <c r="F41" s="77">
        <f>IF('🏦 Debt Schedule'!H16&gt;0,'🏦 Debt Schedule'!H16/3,0)</f>
        <v>0</v>
      </c>
      <c r="G41" s="77">
        <f>IF('🏦 Debt Schedule'!H16&gt;0,'🏦 Debt Schedule'!H16/3,0)</f>
        <v>0</v>
      </c>
      <c r="H41" s="77">
        <f>IF('🏦 Debt Schedule'!H16&gt;0,'🏦 Debt Schedule'!H16/3,0)</f>
        <v>0</v>
      </c>
      <c r="I41" s="77">
        <f>IF('🏦 Debt Schedule'!H16&gt;0,'🏦 Debt Schedule'!H16/3,0)</f>
        <v>0</v>
      </c>
      <c r="J41" s="77">
        <f>IF('🏦 Debt Schedule'!H16&gt;0,'🏦 Debt Schedule'!H16/3,0)</f>
        <v>0</v>
      </c>
      <c r="K41" s="77">
        <f>IF('🏦 Debt Schedule'!H16&gt;0,'🏦 Debt Schedule'!H16/3,0)</f>
        <v>0</v>
      </c>
      <c r="L41" s="77">
        <f>IF('🏦 Debt Schedule'!H16&gt;0,'🏦 Debt Schedule'!H16/3,0)</f>
        <v>0</v>
      </c>
      <c r="M41" s="77">
        <f>IF('🏦 Debt Schedule'!H16&gt;0,'🏦 Debt Schedule'!H16/3,0)</f>
        <v>0</v>
      </c>
      <c r="N41" s="77">
        <f>IF('🏦 Debt Schedule'!H16&gt;0,'🏦 Debt Schedule'!H16/3,0)</f>
        <v>0</v>
      </c>
      <c r="O41" s="37">
        <f>SUM(C41:N41)</f>
        <v>0</v>
      </c>
    </row>
    <row r="42" spans="2:15" ht="18" customHeight="1">
      <c r="B42" s="15" t="s">
        <v>460</v>
      </c>
      <c r="C42" s="42">
        <v>0</v>
      </c>
      <c r="D42" s="42">
        <v>0</v>
      </c>
      <c r="E42" s="42">
        <v>0</v>
      </c>
      <c r="F42" s="42">
        <v>0</v>
      </c>
      <c r="G42" s="42">
        <v>0</v>
      </c>
      <c r="H42" s="42">
        <v>0</v>
      </c>
      <c r="I42" s="42">
        <v>0</v>
      </c>
      <c r="J42" s="42">
        <v>0</v>
      </c>
      <c r="K42" s="42">
        <v>0</v>
      </c>
      <c r="L42" s="42">
        <v>0</v>
      </c>
      <c r="M42" s="42">
        <v>0</v>
      </c>
      <c r="N42" s="42">
        <v>0</v>
      </c>
      <c r="O42" s="37">
        <f>SUM(C42:N42)</f>
        <v>0</v>
      </c>
    </row>
    <row r="43" spans="2:15" ht="18" customHeight="1">
      <c r="B43" s="39" t="s">
        <v>461</v>
      </c>
      <c r="C43" s="42">
        <v>0</v>
      </c>
      <c r="D43" s="42">
        <v>0</v>
      </c>
      <c r="E43" s="42">
        <v>0</v>
      </c>
      <c r="F43" s="42">
        <v>0</v>
      </c>
      <c r="G43" s="42">
        <v>0</v>
      </c>
      <c r="H43" s="42">
        <v>0</v>
      </c>
      <c r="I43" s="42">
        <v>0</v>
      </c>
      <c r="J43" s="42">
        <v>0</v>
      </c>
      <c r="K43" s="42">
        <v>0</v>
      </c>
      <c r="L43" s="42">
        <v>0</v>
      </c>
      <c r="M43" s="42">
        <v>0</v>
      </c>
      <c r="N43" s="42">
        <v>0</v>
      </c>
      <c r="O43" s="37">
        <f>SUM(C43:N43)</f>
        <v>0</v>
      </c>
    </row>
    <row r="44" spans="2:15" ht="18" customHeight="1">
      <c r="B44" s="50" t="s">
        <v>462</v>
      </c>
      <c r="C44" s="41">
        <f>SUM(C38:C43)</f>
        <v>0</v>
      </c>
      <c r="D44" s="41">
        <f>SUM(D38:D43)</f>
        <v>0</v>
      </c>
      <c r="E44" s="41">
        <f>SUM(E38:E43)</f>
        <v>0</v>
      </c>
      <c r="F44" s="41">
        <f>SUM(F38:F43)</f>
        <v>0</v>
      </c>
      <c r="G44" s="41">
        <f>SUM(G38:G43)</f>
        <v>0</v>
      </c>
      <c r="H44" s="41">
        <f>SUM(H38:H43)</f>
        <v>0</v>
      </c>
      <c r="I44" s="41">
        <f>SUM(I38:I43)</f>
        <v>0</v>
      </c>
      <c r="J44" s="41">
        <f>SUM(J38:J43)</f>
        <v>0</v>
      </c>
      <c r="K44" s="41">
        <f>SUM(K38:K43)</f>
        <v>0</v>
      </c>
      <c r="L44" s="41">
        <f>SUM(L38:L43)</f>
        <v>0</v>
      </c>
      <c r="M44" s="41">
        <f>SUM(M38:M43)</f>
        <v>0</v>
      </c>
      <c r="N44" s="41">
        <f>SUM(N38:N43)</f>
        <v>0</v>
      </c>
      <c r="O44" s="41">
        <f>SUM(O38:O43)</f>
        <v>0</v>
      </c>
    </row>
    <row r="45" spans="2:15" ht="21.75" customHeight="1">
      <c r="B45" s="113" t="s">
        <v>463</v>
      </c>
      <c r="C45" s="78"/>
      <c r="D45" s="78"/>
      <c r="E45" s="78"/>
      <c r="F45" s="78"/>
      <c r="G45" s="78"/>
      <c r="H45" s="78"/>
      <c r="I45" s="78"/>
      <c r="J45" s="78"/>
      <c r="K45" s="78"/>
      <c r="L45" s="78"/>
      <c r="M45" s="78"/>
      <c r="N45" s="78"/>
      <c r="O45" s="78"/>
    </row>
    <row r="46" spans="2:15" ht="18" customHeight="1">
      <c r="B46" s="22" t="s">
        <v>464</v>
      </c>
      <c r="C46" s="42">
        <v>0</v>
      </c>
      <c r="D46" s="42">
        <v>0</v>
      </c>
      <c r="E46" s="42">
        <v>0</v>
      </c>
      <c r="F46" s="42">
        <v>0</v>
      </c>
      <c r="G46" s="42">
        <v>0</v>
      </c>
      <c r="H46" s="42">
        <v>0</v>
      </c>
      <c r="I46" s="42">
        <v>0</v>
      </c>
      <c r="J46" s="42">
        <v>0</v>
      </c>
      <c r="K46" s="42">
        <v>0</v>
      </c>
      <c r="L46" s="42">
        <v>0</v>
      </c>
      <c r="M46" s="42">
        <v>0</v>
      </c>
      <c r="N46" s="42">
        <v>0</v>
      </c>
      <c r="O46" s="37">
        <f>SUM(C46:N46)</f>
        <v>0</v>
      </c>
    </row>
    <row r="47" spans="2:15" ht="18" customHeight="1">
      <c r="B47" s="18" t="s">
        <v>465</v>
      </c>
      <c r="C47" s="42">
        <v>0</v>
      </c>
      <c r="D47" s="42">
        <v>0</v>
      </c>
      <c r="E47" s="42">
        <v>0</v>
      </c>
      <c r="F47" s="42">
        <v>0</v>
      </c>
      <c r="G47" s="42">
        <v>0</v>
      </c>
      <c r="H47" s="42">
        <v>0</v>
      </c>
      <c r="I47" s="42">
        <v>0</v>
      </c>
      <c r="J47" s="42">
        <v>0</v>
      </c>
      <c r="K47" s="42">
        <v>0</v>
      </c>
      <c r="L47" s="42">
        <v>0</v>
      </c>
      <c r="M47" s="42">
        <v>0</v>
      </c>
      <c r="N47" s="42">
        <v>0</v>
      </c>
      <c r="O47" s="37">
        <f>SUM(C47:N47)</f>
        <v>0</v>
      </c>
    </row>
    <row r="48" spans="2:15" ht="18" customHeight="1">
      <c r="B48" s="22" t="s">
        <v>466</v>
      </c>
      <c r="C48" s="42">
        <v>0</v>
      </c>
      <c r="D48" s="42">
        <v>0</v>
      </c>
      <c r="E48" s="42">
        <v>0</v>
      </c>
      <c r="F48" s="42">
        <v>0</v>
      </c>
      <c r="G48" s="42">
        <v>0</v>
      </c>
      <c r="H48" s="42">
        <v>0</v>
      </c>
      <c r="I48" s="42">
        <v>0</v>
      </c>
      <c r="J48" s="42">
        <v>0</v>
      </c>
      <c r="K48" s="42">
        <v>0</v>
      </c>
      <c r="L48" s="42">
        <v>0</v>
      </c>
      <c r="M48" s="42">
        <v>0</v>
      </c>
      <c r="N48" s="42">
        <v>0</v>
      </c>
      <c r="O48" s="37">
        <f>SUM(C48:N48)</f>
        <v>0</v>
      </c>
    </row>
    <row r="49" spans="2:15" ht="18" customHeight="1">
      <c r="B49" s="18" t="s">
        <v>467</v>
      </c>
      <c r="C49" s="42">
        <v>0</v>
      </c>
      <c r="D49" s="42">
        <v>0</v>
      </c>
      <c r="E49" s="42">
        <v>0</v>
      </c>
      <c r="F49" s="42">
        <v>0</v>
      </c>
      <c r="G49" s="42">
        <v>0</v>
      </c>
      <c r="H49" s="42">
        <v>0</v>
      </c>
      <c r="I49" s="42">
        <v>0</v>
      </c>
      <c r="J49" s="42">
        <v>0</v>
      </c>
      <c r="K49" s="42">
        <v>0</v>
      </c>
      <c r="L49" s="42">
        <v>0</v>
      </c>
      <c r="M49" s="42">
        <v>0</v>
      </c>
      <c r="N49" s="42">
        <v>0</v>
      </c>
      <c r="O49" s="37">
        <f>SUM(C49:N49)</f>
        <v>0</v>
      </c>
    </row>
    <row r="50" spans="2:15" ht="18" customHeight="1">
      <c r="B50" s="15" t="s">
        <v>468</v>
      </c>
      <c r="C50" s="42">
        <v>0</v>
      </c>
      <c r="D50" s="42">
        <v>0</v>
      </c>
      <c r="E50" s="42">
        <v>0</v>
      </c>
      <c r="F50" s="42">
        <v>0</v>
      </c>
      <c r="G50" s="42">
        <v>0</v>
      </c>
      <c r="H50" s="42">
        <v>0</v>
      </c>
      <c r="I50" s="42">
        <v>0</v>
      </c>
      <c r="J50" s="42">
        <v>0</v>
      </c>
      <c r="K50" s="42">
        <v>0</v>
      </c>
      <c r="L50" s="42">
        <v>0</v>
      </c>
      <c r="M50" s="42">
        <v>0</v>
      </c>
      <c r="N50" s="42">
        <v>0</v>
      </c>
      <c r="O50" s="37">
        <f>SUM(C50:N50)</f>
        <v>0</v>
      </c>
    </row>
    <row r="51" spans="2:15" ht="18" customHeight="1">
      <c r="B51" s="50" t="s">
        <v>469</v>
      </c>
      <c r="C51" s="41">
        <f>SUM(C46:C50)</f>
        <v>0</v>
      </c>
      <c r="D51" s="41">
        <f>SUM(D46:D50)</f>
        <v>0</v>
      </c>
      <c r="E51" s="41">
        <f>SUM(E46:E50)</f>
        <v>0</v>
      </c>
      <c r="F51" s="41">
        <f>SUM(F46:F50)</f>
        <v>0</v>
      </c>
      <c r="G51" s="41">
        <f>SUM(G46:G50)</f>
        <v>0</v>
      </c>
      <c r="H51" s="41">
        <f>SUM(H46:H50)</f>
        <v>0</v>
      </c>
      <c r="I51" s="41">
        <f>SUM(I46:I50)</f>
        <v>0</v>
      </c>
      <c r="J51" s="41">
        <f>SUM(J46:J50)</f>
        <v>0</v>
      </c>
      <c r="K51" s="41">
        <f>SUM(K46:K50)</f>
        <v>0</v>
      </c>
      <c r="L51" s="41">
        <f>SUM(L46:L50)</f>
        <v>0</v>
      </c>
      <c r="M51" s="41">
        <f>SUM(M46:M50)</f>
        <v>0</v>
      </c>
      <c r="N51" s="41">
        <f>SUM(N46:N50)</f>
        <v>0</v>
      </c>
      <c r="O51" s="41">
        <f>SUM(O46:O50)</f>
        <v>0</v>
      </c>
    </row>
    <row r="53" spans="2:15" ht="21.75" customHeight="1">
      <c r="B53" s="141" t="s">
        <v>470</v>
      </c>
      <c r="C53" s="141"/>
      <c r="D53" s="141"/>
      <c r="E53" s="141"/>
      <c r="F53" s="141"/>
      <c r="G53" s="141"/>
      <c r="H53" s="141"/>
      <c r="I53" s="141"/>
      <c r="J53" s="141"/>
      <c r="K53" s="141"/>
      <c r="L53" s="141"/>
      <c r="M53" s="141"/>
      <c r="N53" s="141"/>
      <c r="O53" s="141"/>
    </row>
    <row r="54" spans="2:15" ht="21.75" customHeight="1">
      <c r="B54" s="116" t="s">
        <v>471</v>
      </c>
      <c r="C54" s="45" t="s">
        <v>416</v>
      </c>
      <c r="D54" s="45" t="s">
        <v>417</v>
      </c>
      <c r="E54" s="45" t="s">
        <v>418</v>
      </c>
      <c r="F54" s="45" t="s">
        <v>419</v>
      </c>
      <c r="G54" s="45" t="s">
        <v>420</v>
      </c>
      <c r="H54" s="45" t="s">
        <v>421</v>
      </c>
      <c r="I54" s="45" t="s">
        <v>422</v>
      </c>
      <c r="J54" s="45" t="s">
        <v>423</v>
      </c>
      <c r="K54" s="45" t="s">
        <v>424</v>
      </c>
      <c r="L54" s="45" t="s">
        <v>425</v>
      </c>
      <c r="M54" s="45" t="s">
        <v>426</v>
      </c>
      <c r="N54" s="45" t="s">
        <v>427</v>
      </c>
      <c r="O54" s="116" t="s">
        <v>196</v>
      </c>
    </row>
    <row r="55" spans="2:15" ht="18" customHeight="1">
      <c r="B55" s="80" t="s">
        <v>472</v>
      </c>
      <c r="C55" s="81">
        <f>C11</f>
        <v>0</v>
      </c>
      <c r="D55" s="81">
        <f>D11</f>
        <v>0</v>
      </c>
      <c r="E55" s="81">
        <f>E11</f>
        <v>0</v>
      </c>
      <c r="F55" s="81">
        <f>F11</f>
        <v>0</v>
      </c>
      <c r="G55" s="81">
        <f>G11</f>
        <v>0</v>
      </c>
      <c r="H55" s="81">
        <f>H11</f>
        <v>0</v>
      </c>
      <c r="I55" s="81">
        <f>I11</f>
        <v>0</v>
      </c>
      <c r="J55" s="81">
        <f>J11</f>
        <v>0</v>
      </c>
      <c r="K55" s="81">
        <f>K11</f>
        <v>0</v>
      </c>
      <c r="L55" s="81">
        <f>L11</f>
        <v>0</v>
      </c>
      <c r="M55" s="81">
        <f>M11</f>
        <v>0</v>
      </c>
      <c r="N55" s="81">
        <f>N11</f>
        <v>0</v>
      </c>
      <c r="O55" s="81">
        <f>O11</f>
        <v>0</v>
      </c>
    </row>
    <row r="56" spans="2:15" ht="18" customHeight="1">
      <c r="B56" s="82" t="s">
        <v>473</v>
      </c>
      <c r="C56" s="83">
        <f>C18</f>
        <v>0</v>
      </c>
      <c r="D56" s="83">
        <f>D18</f>
        <v>0</v>
      </c>
      <c r="E56" s="83">
        <f>E18</f>
        <v>0</v>
      </c>
      <c r="F56" s="83">
        <f>F18</f>
        <v>0</v>
      </c>
      <c r="G56" s="83">
        <f>G18</f>
        <v>0</v>
      </c>
      <c r="H56" s="83">
        <f>H18</f>
        <v>0</v>
      </c>
      <c r="I56" s="83">
        <f>I18</f>
        <v>0</v>
      </c>
      <c r="J56" s="83">
        <f>J18</f>
        <v>0</v>
      </c>
      <c r="K56" s="83">
        <f>K18</f>
        <v>0</v>
      </c>
      <c r="L56" s="83">
        <f>L18</f>
        <v>0</v>
      </c>
      <c r="M56" s="83">
        <f>M18</f>
        <v>0</v>
      </c>
      <c r="N56" s="83">
        <f>N18</f>
        <v>0</v>
      </c>
      <c r="O56" s="83">
        <f>O18</f>
        <v>0</v>
      </c>
    </row>
    <row r="57" spans="2:15" ht="18" customHeight="1">
      <c r="B57" s="15" t="s">
        <v>474</v>
      </c>
      <c r="C57" s="84">
        <f>C26</f>
        <v>0</v>
      </c>
      <c r="D57" s="84">
        <f>D26</f>
        <v>0</v>
      </c>
      <c r="E57" s="84">
        <f>E26</f>
        <v>0</v>
      </c>
      <c r="F57" s="84">
        <f>F26</f>
        <v>0</v>
      </c>
      <c r="G57" s="84">
        <f>G26</f>
        <v>0</v>
      </c>
      <c r="H57" s="84">
        <f>H26</f>
        <v>0</v>
      </c>
      <c r="I57" s="84">
        <f>I26</f>
        <v>0</v>
      </c>
      <c r="J57" s="84">
        <f>J26</f>
        <v>0</v>
      </c>
      <c r="K57" s="84">
        <f>K26</f>
        <v>0</v>
      </c>
      <c r="L57" s="84">
        <f>L26</f>
        <v>0</v>
      </c>
      <c r="M57" s="84">
        <f>M26</f>
        <v>0</v>
      </c>
      <c r="N57" s="84">
        <f>N26</f>
        <v>0</v>
      </c>
      <c r="O57" s="84">
        <f>O26</f>
        <v>0</v>
      </c>
    </row>
    <row r="58" spans="2:15" ht="18" customHeight="1">
      <c r="B58" s="15" t="s">
        <v>475</v>
      </c>
      <c r="C58" s="84">
        <f>C36</f>
        <v>0</v>
      </c>
      <c r="D58" s="84">
        <f>D36</f>
        <v>0</v>
      </c>
      <c r="E58" s="84">
        <f>E36</f>
        <v>0</v>
      </c>
      <c r="F58" s="84">
        <f>F36</f>
        <v>0</v>
      </c>
      <c r="G58" s="84">
        <f>G36</f>
        <v>0</v>
      </c>
      <c r="H58" s="84">
        <f>H36</f>
        <v>0</v>
      </c>
      <c r="I58" s="84">
        <f>I36</f>
        <v>0</v>
      </c>
      <c r="J58" s="84">
        <f>J36</f>
        <v>0</v>
      </c>
      <c r="K58" s="84">
        <f>K36</f>
        <v>0</v>
      </c>
      <c r="L58" s="84">
        <f>L36</f>
        <v>0</v>
      </c>
      <c r="M58" s="84">
        <f>M36</f>
        <v>0</v>
      </c>
      <c r="N58" s="84">
        <f>N36</f>
        <v>0</v>
      </c>
      <c r="O58" s="84">
        <f>O36</f>
        <v>0</v>
      </c>
    </row>
    <row r="59" spans="2:15" ht="18" customHeight="1">
      <c r="B59" s="15" t="s">
        <v>476</v>
      </c>
      <c r="C59" s="84">
        <f>C44</f>
        <v>0</v>
      </c>
      <c r="D59" s="84">
        <f>D44</f>
        <v>0</v>
      </c>
      <c r="E59" s="84">
        <f>E44</f>
        <v>0</v>
      </c>
      <c r="F59" s="84">
        <f>F44</f>
        <v>0</v>
      </c>
      <c r="G59" s="84">
        <f>G44</f>
        <v>0</v>
      </c>
      <c r="H59" s="84">
        <f>H44</f>
        <v>0</v>
      </c>
      <c r="I59" s="84">
        <f>I44</f>
        <v>0</v>
      </c>
      <c r="J59" s="84">
        <f>J44</f>
        <v>0</v>
      </c>
      <c r="K59" s="84">
        <f>K44</f>
        <v>0</v>
      </c>
      <c r="L59" s="84">
        <f>L44</f>
        <v>0</v>
      </c>
      <c r="M59" s="84">
        <f>M44</f>
        <v>0</v>
      </c>
      <c r="N59" s="84">
        <f>N44</f>
        <v>0</v>
      </c>
      <c r="O59" s="84">
        <f>O44</f>
        <v>0</v>
      </c>
    </row>
    <row r="60" spans="2:15" ht="18" customHeight="1">
      <c r="B60" s="15" t="s">
        <v>477</v>
      </c>
      <c r="C60" s="84">
        <f>C51</f>
        <v>0</v>
      </c>
      <c r="D60" s="84">
        <f>D51</f>
        <v>0</v>
      </c>
      <c r="E60" s="84">
        <f>E51</f>
        <v>0</v>
      </c>
      <c r="F60" s="84">
        <f>F51</f>
        <v>0</v>
      </c>
      <c r="G60" s="84">
        <f>G51</f>
        <v>0</v>
      </c>
      <c r="H60" s="84">
        <f>H51</f>
        <v>0</v>
      </c>
      <c r="I60" s="84">
        <f>I51</f>
        <v>0</v>
      </c>
      <c r="J60" s="84">
        <f>J51</f>
        <v>0</v>
      </c>
      <c r="K60" s="84">
        <f>K51</f>
        <v>0</v>
      </c>
      <c r="L60" s="84">
        <f>L51</f>
        <v>0</v>
      </c>
      <c r="M60" s="84">
        <f>M51</f>
        <v>0</v>
      </c>
      <c r="N60" s="84">
        <f>N51</f>
        <v>0</v>
      </c>
      <c r="O60" s="84">
        <f>O51</f>
        <v>0</v>
      </c>
    </row>
    <row r="61" spans="2:15" ht="18" customHeight="1">
      <c r="B61" s="50" t="s">
        <v>478</v>
      </c>
      <c r="C61" s="41">
        <f>C55-(C56+C57+C58+C59+C60)</f>
        <v>0</v>
      </c>
      <c r="D61" s="41">
        <f>D55-(D56+D57+D58+D59+D60)</f>
        <v>0</v>
      </c>
      <c r="E61" s="41">
        <f>E55-(E56+E57+E58+E59+E60)</f>
        <v>0</v>
      </c>
      <c r="F61" s="41">
        <f>F55-(F56+F57+F58+F59+F60)</f>
        <v>0</v>
      </c>
      <c r="G61" s="41">
        <f>G55-(G56+G57+G58+G59+G60)</f>
        <v>0</v>
      </c>
      <c r="H61" s="41">
        <f>H55-(H56+H57+H58+H59+H60)</f>
        <v>0</v>
      </c>
      <c r="I61" s="41">
        <f>I55-(I56+I57+I58+I59+I60)</f>
        <v>0</v>
      </c>
      <c r="J61" s="41">
        <f>J55-(J56+J57+J58+J59+J60)</f>
        <v>0</v>
      </c>
      <c r="K61" s="41">
        <f>K55-(K56+K57+K58+K59+K60)</f>
        <v>0</v>
      </c>
      <c r="L61" s="41">
        <f>L55-(L56+L57+L58+L59+L60)</f>
        <v>0</v>
      </c>
      <c r="M61" s="41">
        <f>M55-(M56+M57+M58+M59+M60)</f>
        <v>0</v>
      </c>
      <c r="N61" s="41">
        <f>N55-(N56+N57+N58+N59+N60)</f>
        <v>0</v>
      </c>
      <c r="O61" s="41">
        <f>O55-O56-O57-O58-O59-O60</f>
        <v>0</v>
      </c>
    </row>
    <row r="64" spans="2:15" ht="18" customHeight="1">
      <c r="B64" s="130" t="s">
        <v>479</v>
      </c>
      <c r="C64" s="130"/>
      <c r="D64" s="130"/>
      <c r="E64" s="130"/>
      <c r="F64" s="130"/>
      <c r="G64" s="130"/>
      <c r="H64" s="130"/>
      <c r="I64" s="130"/>
    </row>
    <row r="65" spans="2:15" ht="36" customHeight="1">
      <c r="B65" s="131" t="s">
        <v>480</v>
      </c>
      <c r="C65" s="131"/>
      <c r="D65" s="122"/>
      <c r="E65" s="122"/>
      <c r="F65" s="122"/>
      <c r="G65" s="122"/>
      <c r="H65" s="122"/>
      <c r="I65" s="122"/>
    </row>
    <row r="66" spans="2:15" ht="18" customHeight="1">
      <c r="B66" s="123" t="s">
        <v>261</v>
      </c>
      <c r="C66" s="123"/>
      <c r="D66" s="124" t="s">
        <v>481</v>
      </c>
      <c r="E66" s="124"/>
      <c r="F66" s="124"/>
      <c r="G66" s="124"/>
      <c r="H66" s="124"/>
      <c r="I66" s="124"/>
    </row>
    <row r="67" spans="2:15" ht="18" customHeight="1">
      <c r="B67" s="151" t="s">
        <v>482</v>
      </c>
      <c r="C67" s="151"/>
      <c r="D67" s="122" t="s">
        <v>483</v>
      </c>
      <c r="E67" s="122"/>
      <c r="F67" s="122"/>
      <c r="G67" s="122"/>
      <c r="H67" s="122"/>
      <c r="I67" s="122"/>
    </row>
    <row r="68" spans="2:15" ht="18" customHeight="1">
      <c r="B68" s="125" t="s">
        <v>484</v>
      </c>
      <c r="C68" s="125"/>
      <c r="D68" s="124" t="s">
        <v>485</v>
      </c>
      <c r="E68" s="124"/>
      <c r="F68" s="124"/>
      <c r="G68" s="124"/>
      <c r="H68" s="124"/>
      <c r="I68" s="124"/>
    </row>
    <row r="69" spans="2:15" ht="18" customHeight="1">
      <c r="B69" s="121" t="s">
        <v>486</v>
      </c>
      <c r="C69" s="121"/>
      <c r="D69" s="122" t="s">
        <v>487</v>
      </c>
      <c r="E69" s="122"/>
      <c r="F69" s="122"/>
      <c r="G69" s="122"/>
      <c r="H69" s="122"/>
      <c r="I69" s="122"/>
    </row>
    <row r="70" spans="2:15" ht="18" customHeight="1">
      <c r="B70" s="125" t="s">
        <v>488</v>
      </c>
      <c r="C70" s="125"/>
      <c r="D70" s="124" t="s">
        <v>489</v>
      </c>
      <c r="E70" s="124"/>
      <c r="F70" s="124"/>
      <c r="G70" s="124"/>
      <c r="H70" s="124"/>
      <c r="I70" s="124"/>
    </row>
    <row r="71" spans="2:15" ht="18" customHeight="1">
      <c r="B71" s="121" t="s">
        <v>107</v>
      </c>
      <c r="C71" s="121"/>
      <c r="D71" s="122" t="s">
        <v>490</v>
      </c>
      <c r="E71" s="122"/>
      <c r="F71" s="122"/>
      <c r="G71" s="122"/>
      <c r="H71" s="122"/>
      <c r="I71" s="122"/>
    </row>
    <row r="73" spans="2:15" ht="1.5" customHeight="1">
      <c r="B73" s="23"/>
      <c r="C73" s="23"/>
      <c r="D73" s="23"/>
      <c r="E73" s="23"/>
      <c r="F73" s="23"/>
      <c r="G73" s="23"/>
      <c r="H73" s="23"/>
      <c r="I73" s="23"/>
      <c r="J73" s="23"/>
      <c r="K73" s="23"/>
      <c r="L73" s="23"/>
      <c r="M73" s="23"/>
      <c r="N73" s="23"/>
      <c r="O73" s="23"/>
    </row>
    <row r="74" spans="2:15" ht="18" customHeight="1">
      <c r="B74" s="120" t="str">
        <f>"Prepared by Baobab Consulting  ·  Commercial in Confidence — "&amp;FamilyName&amp;" Group  ·  FY "&amp;FYYear</f>
        <v>Prepared by Baobab Consulting  ·  Commercial in Confidence — Le Group  ·  FY 2025-26</v>
      </c>
      <c r="C74" s="120"/>
      <c r="D74" s="120"/>
      <c r="E74" s="120"/>
      <c r="F74" s="120"/>
      <c r="G74" s="120"/>
      <c r="H74" s="120"/>
      <c r="I74" s="120"/>
      <c r="J74" s="120"/>
      <c r="K74" s="120"/>
      <c r="L74" s="120"/>
      <c r="M74" s="120"/>
      <c r="N74" s="120"/>
      <c r="O74" s="120"/>
    </row>
  </sheetData>
  <sheetProtection password="CBB8" sheet="1" objects="1" scenarios="1" formatCells="0" formatColumns="0" formatRows="0" insertColumns="0" insertRows="0" deleteColumns="0" deleteRows="0" sort="0" autoFilter="0"/>
  <mergeCells count="20">
    <mergeCell ref="C1:R1"/>
    <mergeCell ref="C2:R2"/>
    <mergeCell ref="B3:R3"/>
    <mergeCell ref="B53:O53"/>
    <mergeCell ref="B64:I64"/>
    <mergeCell ref="B65:C65"/>
    <mergeCell ref="D65:I65"/>
    <mergeCell ref="B66:C66"/>
    <mergeCell ref="D66:I66"/>
    <mergeCell ref="B67:C67"/>
    <mergeCell ref="D67:I67"/>
    <mergeCell ref="B71:C71"/>
    <mergeCell ref="D71:I71"/>
    <mergeCell ref="B74:O74"/>
    <mergeCell ref="B68:C68"/>
    <mergeCell ref="D68:I68"/>
    <mergeCell ref="B69:C69"/>
    <mergeCell ref="D69:I69"/>
    <mergeCell ref="B70:C70"/>
    <mergeCell ref="D70:I70"/>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3"/>
  <sheetViews>
    <sheetView showGridLines="0" zoomScaleNormal="100" workbookViewId="0">
      <pane xSplit="1" ySplit="4" topLeftCell="B5" activePane="bottomRight" state="frozen"/>
      <selection pane="bottomRight"/>
      <selection pane="bottomLeft" activeCell="A5" sqref="A5"/>
      <selection pane="topRight" activeCell="B1" sqref="B1"/>
    </sheetView>
  </sheetViews>
  <sheetFormatPr defaultColWidth="8.7109375" defaultRowHeight="15"/>
  <cols>
    <col min="1" max="1" width="2" style="1" customWidth="1"/>
    <col min="2" max="2" width="30" style="1" customWidth="1"/>
    <col min="3" max="3" width="16" style="1" customWidth="1"/>
    <col min="4" max="5" width="13" style="1" customWidth="1"/>
    <col min="6" max="6" width="16" style="1" customWidth="1"/>
    <col min="7" max="7" width="12" style="1" customWidth="1"/>
    <col min="8" max="8" width="16" style="1" customWidth="1"/>
    <col min="9" max="9" width="13" style="1" customWidth="1"/>
  </cols>
  <sheetData>
    <row r="1" spans="1:16" ht="90" customHeight="1">
      <c r="A1" s="8"/>
      <c r="B1" s="8"/>
      <c r="C1" s="132" t="str">
        <f>FamilyName&amp;" Group — Debt Schedule"</f>
        <v>Le Group — Debt Schedule</v>
      </c>
      <c r="D1" s="132"/>
      <c r="E1" s="132"/>
      <c r="F1" s="132"/>
      <c r="G1" s="132"/>
      <c r="H1" s="132"/>
      <c r="I1" s="132"/>
      <c r="J1" s="132"/>
      <c r="K1" s="132"/>
      <c r="L1" s="132"/>
      <c r="M1" s="8"/>
      <c r="N1" s="8"/>
      <c r="O1" s="8"/>
      <c r="P1" s="9"/>
    </row>
    <row r="2" spans="1:16" ht="18" customHeight="1">
      <c r="A2" s="10"/>
      <c r="B2" s="10"/>
      <c r="C2" s="133" t="str">
        <f>"FY "&amp;FYYear&amp;"  ·  Baobab Consulting  ·  Confidential"</f>
        <v>FY 2025-26  ·  Baobab Consulting  ·  Confidential</v>
      </c>
      <c r="D2" s="133"/>
      <c r="E2" s="133"/>
      <c r="F2" s="133"/>
      <c r="G2" s="133"/>
      <c r="H2" s="133"/>
      <c r="I2" s="133"/>
      <c r="J2" s="133"/>
      <c r="K2" s="133"/>
      <c r="L2" s="133"/>
      <c r="M2" s="10"/>
      <c r="N2" s="10"/>
      <c r="O2" s="10"/>
      <c r="P2" s="9"/>
    </row>
    <row r="3" spans="1:16" ht="13.5" customHeight="1">
      <c r="A3" s="11"/>
      <c r="B3" s="134" t="s">
        <v>1</v>
      </c>
      <c r="C3" s="134"/>
      <c r="D3" s="134"/>
      <c r="E3" s="134"/>
      <c r="F3" s="134"/>
      <c r="G3" s="134"/>
      <c r="H3" s="134"/>
      <c r="I3" s="134"/>
      <c r="J3" s="134"/>
      <c r="K3" s="134"/>
      <c r="L3" s="134"/>
      <c r="M3" s="11"/>
      <c r="N3" s="11"/>
      <c r="O3" s="11"/>
      <c r="P3" s="9"/>
    </row>
    <row r="4" spans="1:16" ht="30" customHeight="1">
      <c r="B4" s="45" t="s">
        <v>491</v>
      </c>
      <c r="C4" s="45" t="s">
        <v>492</v>
      </c>
      <c r="D4" s="45" t="s">
        <v>493</v>
      </c>
      <c r="E4" s="45" t="s">
        <v>494</v>
      </c>
      <c r="F4" s="45" t="s">
        <v>495</v>
      </c>
      <c r="G4" s="45" t="s">
        <v>496</v>
      </c>
      <c r="H4" s="45" t="s">
        <v>497</v>
      </c>
      <c r="I4" s="45" t="s">
        <v>213</v>
      </c>
    </row>
    <row r="5" spans="1:16" ht="30" customHeight="1">
      <c r="B5" s="140" t="s">
        <v>498</v>
      </c>
      <c r="C5" s="140"/>
      <c r="D5" s="140"/>
      <c r="E5" s="140"/>
      <c r="F5" s="140"/>
      <c r="G5" s="140"/>
      <c r="H5" s="140"/>
      <c r="I5" s="140"/>
    </row>
    <row r="6" spans="1:16" ht="18" customHeight="1">
      <c r="B6" s="62" t="s">
        <v>499</v>
      </c>
      <c r="C6" s="42">
        <v>0</v>
      </c>
      <c r="D6" s="85">
        <v>0</v>
      </c>
      <c r="E6" s="13" t="s">
        <v>500</v>
      </c>
      <c r="F6" s="84">
        <f>IF(C6&gt;0,D6*C6/12,0)</f>
        <v>0</v>
      </c>
      <c r="G6" s="86">
        <v>30</v>
      </c>
      <c r="H6" s="84">
        <f>IF(C6&gt;0,IF(E6="P&amp;I",PMT(D6/12,G6*12,-C6),D6*C6/12),0)</f>
        <v>0</v>
      </c>
      <c r="I6" s="13" t="s">
        <v>501</v>
      </c>
    </row>
    <row r="7" spans="1:16" ht="18" customHeight="1">
      <c r="B7" s="62" t="s">
        <v>502</v>
      </c>
      <c r="C7" s="42">
        <v>0</v>
      </c>
      <c r="D7" s="85">
        <v>0</v>
      </c>
      <c r="E7" s="13" t="s">
        <v>500</v>
      </c>
      <c r="F7" s="87">
        <f>IF(C7&gt;0,D7*C7/12,0)</f>
        <v>0</v>
      </c>
      <c r="G7" s="86">
        <v>30</v>
      </c>
      <c r="H7" s="87">
        <f>IF(C7&gt;0,IF(E7="P&amp;I",PMT(D7/12,G7*12,-C7),D7*C7/12),0)</f>
        <v>0</v>
      </c>
      <c r="I7" s="13" t="s">
        <v>501</v>
      </c>
    </row>
    <row r="8" spans="1:16" ht="18" customHeight="1">
      <c r="B8" s="62" t="s">
        <v>503</v>
      </c>
      <c r="C8" s="42">
        <v>0</v>
      </c>
      <c r="D8" s="85">
        <v>0</v>
      </c>
      <c r="E8" s="13" t="s">
        <v>500</v>
      </c>
      <c r="F8" s="84">
        <f>IF(C8&gt;0,D8*C8/12,0)</f>
        <v>0</v>
      </c>
      <c r="G8" s="86">
        <v>30</v>
      </c>
      <c r="H8" s="84">
        <f>IF(C8&gt;0,IF(E8="P&amp;I",PMT(D8/12,G8*12,-C8),D8*C8/12),0)</f>
        <v>0</v>
      </c>
      <c r="I8" s="13" t="s">
        <v>501</v>
      </c>
    </row>
    <row r="9" spans="1:16" ht="18" customHeight="1">
      <c r="B9" s="62" t="s">
        <v>504</v>
      </c>
      <c r="C9" s="42">
        <v>0</v>
      </c>
      <c r="D9" s="85">
        <v>0</v>
      </c>
      <c r="E9" s="13" t="s">
        <v>500</v>
      </c>
      <c r="F9" s="87">
        <f>IF(C9&gt;0,D9*C9/12,0)</f>
        <v>0</v>
      </c>
      <c r="G9" s="86">
        <v>30</v>
      </c>
      <c r="H9" s="87">
        <f>IF(C9&gt;0,IF(E9="P&amp;I",PMT(D9/12,G9*12,-C9),D9*C9/12),0)</f>
        <v>0</v>
      </c>
      <c r="I9" s="13" t="s">
        <v>501</v>
      </c>
    </row>
    <row r="10" spans="1:16" ht="18" customHeight="1">
      <c r="B10" s="62" t="s">
        <v>505</v>
      </c>
      <c r="C10" s="42">
        <v>0</v>
      </c>
      <c r="D10" s="85">
        <v>0</v>
      </c>
      <c r="E10" s="13" t="s">
        <v>500</v>
      </c>
      <c r="F10" s="84">
        <f>IF(C10&gt;0,D10*C10/12,0)</f>
        <v>0</v>
      </c>
      <c r="G10" s="86">
        <v>30</v>
      </c>
      <c r="H10" s="84">
        <f>IF(C10&gt;0,IF(E10="P&amp;I",PMT(D10/12,G10*12,-C10),D10*C10/12),0)</f>
        <v>0</v>
      </c>
      <c r="I10" s="13" t="s">
        <v>501</v>
      </c>
    </row>
    <row r="11" spans="1:16" ht="18" customHeight="1">
      <c r="B11" s="62" t="s">
        <v>506</v>
      </c>
      <c r="C11" s="42">
        <v>0</v>
      </c>
      <c r="D11" s="85">
        <v>0</v>
      </c>
      <c r="E11" s="13" t="s">
        <v>500</v>
      </c>
      <c r="F11" s="87">
        <f>IF(C11&gt;0,D11*C11/12,0)</f>
        <v>0</v>
      </c>
      <c r="G11" s="86">
        <v>30</v>
      </c>
      <c r="H11" s="87">
        <f>IF(C11&gt;0,IF(E11="P&amp;I",PMT(D11/12,G11*12,-C11),D11*C11/12),0)</f>
        <v>0</v>
      </c>
      <c r="I11" s="13" t="s">
        <v>501</v>
      </c>
    </row>
    <row r="12" spans="1:16" ht="18" customHeight="1">
      <c r="B12" s="62" t="s">
        <v>507</v>
      </c>
      <c r="C12" s="42">
        <v>0</v>
      </c>
      <c r="D12" s="85">
        <v>0</v>
      </c>
      <c r="E12" s="13" t="s">
        <v>500</v>
      </c>
      <c r="F12" s="84">
        <f>IF(C12&gt;0,D12*C12/12,0)</f>
        <v>0</v>
      </c>
      <c r="G12" s="86">
        <v>30</v>
      </c>
      <c r="H12" s="84">
        <f>IF(C12&gt;0,IF(E12="P&amp;I",PMT(D12/12,G12*12,-C12),D12*C12/12),0)</f>
        <v>0</v>
      </c>
      <c r="I12" s="13" t="s">
        <v>501</v>
      </c>
    </row>
    <row r="13" spans="1:16" ht="18" customHeight="1">
      <c r="B13" s="62"/>
      <c r="C13" s="42">
        <v>0</v>
      </c>
      <c r="D13" s="85">
        <v>0</v>
      </c>
      <c r="E13" s="13" t="s">
        <v>500</v>
      </c>
      <c r="F13" s="87">
        <f>IF(C13&gt;0,D13*C13/12,0)</f>
        <v>0</v>
      </c>
      <c r="G13" s="86">
        <v>30</v>
      </c>
      <c r="H13" s="87">
        <f>IF(C13&gt;0,IF(E13="P&amp;I",PMT(D13/12,G13*12,-C13),D13*C13/12),0)</f>
        <v>0</v>
      </c>
      <c r="I13" s="13" t="s">
        <v>501</v>
      </c>
    </row>
    <row r="14" spans="1:16" ht="18" customHeight="1">
      <c r="B14" s="62"/>
      <c r="C14" s="42">
        <v>0</v>
      </c>
      <c r="D14" s="85">
        <v>0</v>
      </c>
      <c r="E14" s="13" t="s">
        <v>500</v>
      </c>
      <c r="F14" s="84">
        <f>IF(C14&gt;0,D14*C14/12,0)</f>
        <v>0</v>
      </c>
      <c r="G14" s="86">
        <v>30</v>
      </c>
      <c r="H14" s="84">
        <f>IF(C14&gt;0,IF(E14="P&amp;I",PMT(D14/12,G14*12,-C14),D14*C14/12),0)</f>
        <v>0</v>
      </c>
      <c r="I14" s="13" t="s">
        <v>501</v>
      </c>
    </row>
    <row r="15" spans="1:16" ht="18" customHeight="1">
      <c r="B15" s="62"/>
      <c r="C15" s="42">
        <v>0</v>
      </c>
      <c r="D15" s="85">
        <v>0</v>
      </c>
      <c r="E15" s="13" t="s">
        <v>500</v>
      </c>
      <c r="F15" s="87">
        <f>IF(C15&gt;0,D15*C15/12,0)</f>
        <v>0</v>
      </c>
      <c r="G15" s="86">
        <v>30</v>
      </c>
      <c r="H15" s="87">
        <f>IF(C15&gt;0,IF(E15="P&amp;I",PMT(D15/12,G15*12,-C15),D15*C15/12),0)</f>
        <v>0</v>
      </c>
      <c r="I15" s="13" t="s">
        <v>501</v>
      </c>
    </row>
    <row r="16" spans="1:16" ht="18" customHeight="1">
      <c r="B16" s="50" t="s">
        <v>508</v>
      </c>
      <c r="C16" s="41">
        <f>SUM(C6:C15)</f>
        <v>0</v>
      </c>
      <c r="E16" s="88"/>
      <c r="F16" s="41">
        <f>SUM(F6:F15)</f>
        <v>0</v>
      </c>
      <c r="H16" s="41">
        <f>SUM(H6:H15)</f>
        <v>0</v>
      </c>
      <c r="I16" s="88"/>
    </row>
    <row r="17" spans="2:9" ht="15" customHeight="1">
      <c r="E17" s="88"/>
      <c r="I17" s="88"/>
    </row>
    <row r="18" spans="2:9" ht="21.75" customHeight="1">
      <c r="B18" s="152" t="s">
        <v>509</v>
      </c>
      <c r="C18" s="152"/>
      <c r="D18" s="152"/>
      <c r="E18" s="152"/>
      <c r="F18" s="152"/>
      <c r="G18" s="152"/>
      <c r="H18" s="152"/>
      <c r="I18" s="152"/>
    </row>
    <row r="19" spans="2:9" ht="18" customHeight="1">
      <c r="B19" s="62" t="s">
        <v>510</v>
      </c>
      <c r="C19" s="42">
        <v>0</v>
      </c>
      <c r="D19" s="85">
        <v>0</v>
      </c>
      <c r="E19" s="13" t="s">
        <v>500</v>
      </c>
      <c r="F19" s="87">
        <f>IF(C19&gt;0,D19*C19/12,0)</f>
        <v>0</v>
      </c>
      <c r="G19" s="86">
        <v>30</v>
      </c>
      <c r="H19" s="87">
        <f>IF(C19&gt;0,IF(E19="P&amp;I",PMT(D19/12,G19*12,-C19),D19*C19/12),0)</f>
        <v>0</v>
      </c>
      <c r="I19" s="13" t="s">
        <v>511</v>
      </c>
    </row>
    <row r="20" spans="2:9" ht="18" customHeight="1">
      <c r="B20" s="62" t="s">
        <v>512</v>
      </c>
      <c r="C20" s="42">
        <v>0</v>
      </c>
      <c r="D20" s="85">
        <v>0</v>
      </c>
      <c r="E20" s="13" t="s">
        <v>500</v>
      </c>
      <c r="F20" s="84">
        <f>IF(C20&gt;0,D20*C20/12,0)</f>
        <v>0</v>
      </c>
      <c r="G20" s="86">
        <v>30</v>
      </c>
      <c r="H20" s="84">
        <f>IF(C20&gt;0,IF(E20="P&amp;I",PMT(D20/12,G20*12,-C20),D20*C20/12),0)</f>
        <v>0</v>
      </c>
      <c r="I20" s="13" t="s">
        <v>511</v>
      </c>
    </row>
    <row r="21" spans="2:9" ht="18" customHeight="1">
      <c r="B21" s="62" t="s">
        <v>513</v>
      </c>
      <c r="C21" s="42">
        <v>0</v>
      </c>
      <c r="D21" s="85">
        <v>0</v>
      </c>
      <c r="E21" s="13" t="s">
        <v>500</v>
      </c>
      <c r="F21" s="87">
        <f>IF(C21&gt;0,D21*C21/12,0)</f>
        <v>0</v>
      </c>
      <c r="G21" s="86">
        <v>30</v>
      </c>
      <c r="H21" s="87">
        <f>IF(C21&gt;0,IF(E21="P&amp;I",PMT(D21/12,G21*12,-C21),D21*C21/12),0)</f>
        <v>0</v>
      </c>
      <c r="I21" s="13" t="s">
        <v>511</v>
      </c>
    </row>
    <row r="22" spans="2:9" ht="18" customHeight="1">
      <c r="B22" s="62" t="s">
        <v>514</v>
      </c>
      <c r="C22" s="42">
        <v>0</v>
      </c>
      <c r="D22" s="85">
        <v>0</v>
      </c>
      <c r="E22" s="13" t="s">
        <v>500</v>
      </c>
      <c r="F22" s="84">
        <f>IF(C22&gt;0,D22*C22/12,0)</f>
        <v>0</v>
      </c>
      <c r="G22" s="86">
        <v>30</v>
      </c>
      <c r="H22" s="84">
        <f>IF(C22&gt;0,IF(E22="P&amp;I",PMT(D22/12,G22*12,-C22),D22*C22/12),0)</f>
        <v>0</v>
      </c>
      <c r="I22" s="13" t="s">
        <v>511</v>
      </c>
    </row>
    <row r="23" spans="2:9" ht="18" customHeight="1">
      <c r="B23" s="62"/>
      <c r="C23" s="42">
        <v>0</v>
      </c>
      <c r="D23" s="85">
        <v>0</v>
      </c>
      <c r="E23" s="13" t="s">
        <v>500</v>
      </c>
      <c r="F23" s="87">
        <f>IF(C23&gt;0,D23*C23/12,0)</f>
        <v>0</v>
      </c>
      <c r="G23" s="86">
        <v>30</v>
      </c>
      <c r="H23" s="87">
        <f>IF(C23&gt;0,IF(E23="P&amp;I",PMT(D23/12,G23*12,-C23),D23*C23/12),0)</f>
        <v>0</v>
      </c>
      <c r="I23" s="13" t="s">
        <v>511</v>
      </c>
    </row>
    <row r="24" spans="2:9" ht="18" customHeight="1">
      <c r="B24" s="119" t="s">
        <v>515</v>
      </c>
      <c r="C24" s="41">
        <f>SUM(C19:C23)</f>
        <v>0</v>
      </c>
      <c r="E24" s="88"/>
      <c r="F24" s="41">
        <f>SUM(F19:F23)</f>
        <v>0</v>
      </c>
      <c r="H24" s="41">
        <f>SUM(H19:H23)</f>
        <v>0</v>
      </c>
      <c r="I24" s="88"/>
    </row>
    <row r="25" spans="2:9" ht="15" customHeight="1">
      <c r="E25" s="88"/>
      <c r="I25" s="88"/>
    </row>
    <row r="26" spans="2:9" ht="21.75" customHeight="1">
      <c r="B26" s="141" t="s">
        <v>516</v>
      </c>
      <c r="C26" s="141"/>
      <c r="D26" s="141"/>
      <c r="E26" s="141"/>
      <c r="F26" s="141"/>
      <c r="G26" s="141"/>
      <c r="H26" s="141"/>
      <c r="I26" s="141"/>
    </row>
    <row r="27" spans="2:9" ht="18" customHeight="1">
      <c r="B27" s="89" t="s">
        <v>517</v>
      </c>
      <c r="C27" s="87">
        <f>C16</f>
        <v>0</v>
      </c>
      <c r="D27" s="87">
        <f>C24</f>
        <v>0</v>
      </c>
      <c r="E27" s="41">
        <f>C16+C24</f>
        <v>0</v>
      </c>
    </row>
    <row r="28" spans="2:9" ht="18" customHeight="1">
      <c r="B28" s="90" t="s">
        <v>518</v>
      </c>
      <c r="C28" s="84">
        <f>F16</f>
        <v>0</v>
      </c>
      <c r="D28" s="84">
        <f>F24</f>
        <v>0</v>
      </c>
      <c r="E28" s="41">
        <f>F16+F24</f>
        <v>0</v>
      </c>
    </row>
    <row r="29" spans="2:9" ht="18" customHeight="1">
      <c r="B29" s="91" t="s">
        <v>519</v>
      </c>
      <c r="C29" s="87">
        <f>H16</f>
        <v>0</v>
      </c>
      <c r="D29" s="87">
        <f>H24</f>
        <v>0</v>
      </c>
      <c r="E29" s="41">
        <f>H16+H24</f>
        <v>0</v>
      </c>
    </row>
    <row r="32" spans="2:9" ht="18" customHeight="1">
      <c r="B32" s="130" t="s">
        <v>520</v>
      </c>
      <c r="C32" s="130"/>
      <c r="D32" s="130"/>
      <c r="E32" s="130"/>
      <c r="F32" s="130"/>
      <c r="G32" s="130"/>
      <c r="H32" s="130"/>
      <c r="I32" s="130"/>
    </row>
    <row r="33" spans="2:9" ht="36" customHeight="1">
      <c r="B33" s="131" t="s">
        <v>521</v>
      </c>
      <c r="C33" s="131"/>
      <c r="D33" s="122"/>
      <c r="E33" s="122"/>
      <c r="F33" s="122"/>
      <c r="G33" s="122"/>
      <c r="H33" s="122"/>
      <c r="I33" s="122"/>
    </row>
    <row r="34" spans="2:9" ht="18" customHeight="1">
      <c r="B34" s="125" t="s">
        <v>522</v>
      </c>
      <c r="C34" s="125"/>
      <c r="D34" s="124" t="s">
        <v>523</v>
      </c>
      <c r="E34" s="124"/>
      <c r="F34" s="124"/>
      <c r="G34" s="124"/>
      <c r="H34" s="124"/>
      <c r="I34" s="124"/>
    </row>
    <row r="35" spans="2:9" ht="18" customHeight="1">
      <c r="B35" s="151" t="s">
        <v>524</v>
      </c>
      <c r="C35" s="151"/>
      <c r="D35" s="122" t="s">
        <v>525</v>
      </c>
      <c r="E35" s="122"/>
      <c r="F35" s="122"/>
      <c r="G35" s="122"/>
      <c r="H35" s="122"/>
      <c r="I35" s="122"/>
    </row>
    <row r="36" spans="2:9" ht="18" customHeight="1">
      <c r="B36" s="123" t="s">
        <v>526</v>
      </c>
      <c r="C36" s="123"/>
      <c r="D36" s="124" t="s">
        <v>527</v>
      </c>
      <c r="E36" s="124"/>
      <c r="F36" s="124"/>
      <c r="G36" s="124"/>
      <c r="H36" s="124"/>
      <c r="I36" s="124"/>
    </row>
    <row r="37" spans="2:9" ht="18" customHeight="1">
      <c r="B37" s="121" t="s">
        <v>528</v>
      </c>
      <c r="C37" s="121"/>
      <c r="D37" s="122" t="s">
        <v>529</v>
      </c>
      <c r="E37" s="122"/>
      <c r="F37" s="122"/>
      <c r="G37" s="122"/>
      <c r="H37" s="122"/>
      <c r="I37" s="122"/>
    </row>
    <row r="38" spans="2:9" ht="18" customHeight="1">
      <c r="B38" s="123" t="s">
        <v>530</v>
      </c>
      <c r="C38" s="123"/>
      <c r="D38" s="124" t="s">
        <v>531</v>
      </c>
      <c r="E38" s="124"/>
      <c r="F38" s="124"/>
      <c r="G38" s="124"/>
      <c r="H38" s="124"/>
      <c r="I38" s="124"/>
    </row>
    <row r="39" spans="2:9" ht="18" customHeight="1">
      <c r="B39" s="121" t="s">
        <v>532</v>
      </c>
      <c r="C39" s="121"/>
      <c r="D39" s="122" t="s">
        <v>533</v>
      </c>
      <c r="E39" s="122"/>
      <c r="F39" s="122"/>
      <c r="G39" s="122"/>
      <c r="H39" s="122"/>
      <c r="I39" s="122"/>
    </row>
    <row r="40" spans="2:9" ht="18" customHeight="1">
      <c r="B40" s="123" t="s">
        <v>107</v>
      </c>
      <c r="C40" s="123"/>
      <c r="D40" s="124" t="s">
        <v>534</v>
      </c>
      <c r="E40" s="124"/>
      <c r="F40" s="124"/>
      <c r="G40" s="124"/>
      <c r="H40" s="124"/>
      <c r="I40" s="124"/>
    </row>
    <row r="42" spans="2:9" ht="1.5" customHeight="1">
      <c r="B42" s="23"/>
      <c r="C42" s="23"/>
      <c r="D42" s="23"/>
      <c r="E42" s="23"/>
      <c r="F42" s="23"/>
      <c r="G42" s="23"/>
      <c r="H42" s="23"/>
      <c r="I42" s="23"/>
    </row>
    <row r="43" spans="2:9" ht="18" customHeight="1">
      <c r="B43" s="120" t="str">
        <f>"Prepared by Baobab Consulting  ·  Commercial in Confidence — "&amp;FamilyName&amp;" Group  ·  FY "&amp;FYYear</f>
        <v>Prepared by Baobab Consulting  ·  Commercial in Confidence — Le Group  ·  FY 2025-26</v>
      </c>
      <c r="C43" s="120"/>
      <c r="D43" s="120"/>
      <c r="E43" s="120"/>
      <c r="F43" s="120"/>
      <c r="G43" s="120"/>
      <c r="H43" s="120"/>
      <c r="I43" s="120"/>
    </row>
  </sheetData>
  <sheetProtection password="CBB8" sheet="1" objects="1" scenarios="1" formatCells="0" formatColumns="0" formatRows="0" insertColumns="0" insertRows="0" deleteColumns="0" deleteRows="0" sort="0" autoFilter="0"/>
  <mergeCells count="24">
    <mergeCell ref="C1:L1"/>
    <mergeCell ref="C2:L2"/>
    <mergeCell ref="B3:L3"/>
    <mergeCell ref="B5:I5"/>
    <mergeCell ref="B18:I18"/>
    <mergeCell ref="B26:I26"/>
    <mergeCell ref="B32:I32"/>
    <mergeCell ref="B33:C33"/>
    <mergeCell ref="D33:I33"/>
    <mergeCell ref="B34:C34"/>
    <mergeCell ref="D34:I34"/>
    <mergeCell ref="B35:C35"/>
    <mergeCell ref="D35:I35"/>
    <mergeCell ref="B36:C36"/>
    <mergeCell ref="D36:I36"/>
    <mergeCell ref="B37:C37"/>
    <mergeCell ref="D37:I37"/>
    <mergeCell ref="B43:I43"/>
    <mergeCell ref="B38:C38"/>
    <mergeCell ref="D38:I38"/>
    <mergeCell ref="B39:C39"/>
    <mergeCell ref="D39:I39"/>
    <mergeCell ref="B40:C40"/>
    <mergeCell ref="D40:I40"/>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46"/>
  <sheetViews>
    <sheetView showGridLines="0" zoomScaleNormal="100" workbookViewId="0">
      <pane xSplit="1" ySplit="4" topLeftCell="B27" activePane="bottomRight" state="frozen"/>
      <selection pane="bottomRight" activeCell="B46" sqref="B46"/>
      <selection pane="bottomLeft" activeCell="A5" sqref="A5"/>
      <selection pane="topRight" activeCell="B1" sqref="B1"/>
    </sheetView>
  </sheetViews>
  <sheetFormatPr defaultColWidth="8.7109375" defaultRowHeight="15"/>
  <cols>
    <col min="1" max="1" width="2" style="1" customWidth="1"/>
    <col min="2" max="2" width="30" style="1" customWidth="1"/>
    <col min="3" max="3" width="14" style="1" customWidth="1"/>
    <col min="4" max="4" width="3" style="1" customWidth="1"/>
    <col min="5" max="5" width="26" style="1" customWidth="1"/>
    <col min="6" max="6" width="14" style="1" customWidth="1"/>
    <col min="7" max="7" width="3" style="1" customWidth="1"/>
    <col min="8" max="8" width="26" style="1" customWidth="1"/>
    <col min="9" max="9" width="14" style="1" customWidth="1"/>
    <col min="10" max="10" width="3" style="1" customWidth="1"/>
    <col min="11" max="11" width="26" style="1" customWidth="1"/>
    <col min="12" max="12" width="14" style="1" customWidth="1"/>
    <col min="13" max="13" width="3" style="1" customWidth="1"/>
    <col min="14" max="14" width="22" style="1" customWidth="1"/>
    <col min="15" max="15" width="14" style="1" customWidth="1"/>
  </cols>
  <sheetData>
    <row r="1" spans="1:22" ht="90" customHeight="1">
      <c r="A1" s="8"/>
      <c r="B1" s="8"/>
      <c r="C1" s="132" t="str">
        <f>FamilyName&amp;" Group — Rental Property Schedules"</f>
        <v>Le Group — Rental Property Schedules</v>
      </c>
      <c r="D1" s="132"/>
      <c r="E1" s="132"/>
      <c r="F1" s="132"/>
      <c r="G1" s="132"/>
      <c r="H1" s="132"/>
      <c r="I1" s="132"/>
      <c r="J1" s="132"/>
      <c r="K1" s="132"/>
      <c r="L1" s="132"/>
      <c r="M1" s="132"/>
      <c r="N1" s="132"/>
      <c r="O1" s="132"/>
      <c r="P1" s="132"/>
      <c r="Q1" s="132"/>
      <c r="R1" s="132"/>
      <c r="S1" s="8"/>
      <c r="T1" s="8"/>
      <c r="U1" s="8"/>
      <c r="V1" s="9"/>
    </row>
    <row r="2" spans="1:22" ht="18" customHeight="1">
      <c r="A2" s="10"/>
      <c r="B2" s="10"/>
      <c r="C2" s="133" t="str">
        <f>"FY "&amp;FYYear&amp;"  ·  Baobab Consulting  ·  Confidential"</f>
        <v>FY 2025-26  ·  Baobab Consulting  ·  Confidential</v>
      </c>
      <c r="D2" s="133"/>
      <c r="E2" s="133"/>
      <c r="F2" s="133"/>
      <c r="G2" s="133"/>
      <c r="H2" s="133"/>
      <c r="I2" s="133"/>
      <c r="J2" s="133"/>
      <c r="K2" s="133"/>
      <c r="L2" s="133"/>
      <c r="M2" s="133"/>
      <c r="N2" s="133"/>
      <c r="O2" s="133"/>
      <c r="P2" s="133"/>
      <c r="Q2" s="133"/>
      <c r="R2" s="133"/>
      <c r="S2" s="10"/>
      <c r="T2" s="10"/>
      <c r="U2" s="10"/>
      <c r="V2" s="9"/>
    </row>
    <row r="3" spans="1:22" ht="13.5" customHeight="1">
      <c r="A3" s="11"/>
      <c r="B3" s="134" t="s">
        <v>1</v>
      </c>
      <c r="C3" s="134"/>
      <c r="D3" s="134"/>
      <c r="E3" s="134"/>
      <c r="F3" s="134"/>
      <c r="G3" s="134"/>
      <c r="H3" s="134"/>
      <c r="I3" s="134"/>
      <c r="J3" s="134"/>
      <c r="K3" s="134"/>
      <c r="L3" s="134"/>
      <c r="M3" s="134"/>
      <c r="N3" s="134"/>
      <c r="O3" s="134"/>
      <c r="P3" s="134"/>
      <c r="Q3" s="134"/>
      <c r="R3" s="134"/>
      <c r="S3" s="11"/>
      <c r="T3" s="11"/>
      <c r="U3" s="11"/>
      <c r="V3" s="9"/>
    </row>
    <row r="4" spans="1:22" ht="21.75" customHeight="1">
      <c r="B4" s="112" t="s">
        <v>535</v>
      </c>
      <c r="E4" s="112" t="s">
        <v>536</v>
      </c>
      <c r="H4" s="112" t="s">
        <v>537</v>
      </c>
      <c r="K4" s="112" t="s">
        <v>538</v>
      </c>
    </row>
    <row r="5" spans="1:22" ht="30" customHeight="1">
      <c r="B5" s="116" t="s">
        <v>539</v>
      </c>
      <c r="C5" s="116" t="s">
        <v>132</v>
      </c>
      <c r="E5" s="116" t="s">
        <v>539</v>
      </c>
      <c r="F5" s="116" t="s">
        <v>132</v>
      </c>
      <c r="H5" s="116" t="s">
        <v>539</v>
      </c>
      <c r="I5" s="116" t="s">
        <v>132</v>
      </c>
      <c r="K5" s="116" t="s">
        <v>539</v>
      </c>
      <c r="L5" s="116" t="s">
        <v>132</v>
      </c>
      <c r="N5" s="116" t="s">
        <v>471</v>
      </c>
      <c r="O5" s="116" t="s">
        <v>540</v>
      </c>
    </row>
    <row r="6" spans="1:22" ht="18" customHeight="1">
      <c r="B6" s="80" t="s">
        <v>541</v>
      </c>
      <c r="C6" s="92"/>
      <c r="E6" s="80" t="s">
        <v>541</v>
      </c>
      <c r="F6" s="92"/>
      <c r="H6" s="80" t="s">
        <v>541</v>
      </c>
      <c r="I6" s="92"/>
      <c r="K6" s="80" t="s">
        <v>541</v>
      </c>
      <c r="L6" s="92"/>
    </row>
    <row r="7" spans="1:22" ht="18" customHeight="1">
      <c r="B7" s="12" t="s">
        <v>542</v>
      </c>
      <c r="C7" s="86">
        <v>52</v>
      </c>
      <c r="E7" s="12" t="s">
        <v>542</v>
      </c>
      <c r="F7" s="86">
        <v>52</v>
      </c>
      <c r="H7" s="12" t="s">
        <v>542</v>
      </c>
      <c r="I7" s="86">
        <v>52</v>
      </c>
      <c r="K7" s="12" t="s">
        <v>542</v>
      </c>
      <c r="L7" s="86">
        <v>52</v>
      </c>
    </row>
    <row r="8" spans="1:22" ht="18" customHeight="1">
      <c r="B8" s="12" t="s">
        <v>543</v>
      </c>
      <c r="C8" s="42">
        <v>0</v>
      </c>
      <c r="E8" s="12" t="s">
        <v>543</v>
      </c>
      <c r="F8" s="42">
        <v>0</v>
      </c>
      <c r="H8" s="12" t="s">
        <v>543</v>
      </c>
      <c r="I8" s="42">
        <v>0</v>
      </c>
      <c r="K8" s="12" t="s">
        <v>543</v>
      </c>
      <c r="L8" s="42">
        <v>0</v>
      </c>
      <c r="N8" s="129" t="s">
        <v>544</v>
      </c>
      <c r="O8" s="129"/>
    </row>
    <row r="9" spans="1:22" ht="18" customHeight="1">
      <c r="B9" s="12" t="s">
        <v>545</v>
      </c>
      <c r="C9" s="86">
        <v>1</v>
      </c>
      <c r="E9" s="12" t="s">
        <v>545</v>
      </c>
      <c r="F9" s="86">
        <v>1</v>
      </c>
      <c r="H9" s="12" t="s">
        <v>545</v>
      </c>
      <c r="I9" s="86">
        <v>1</v>
      </c>
      <c r="K9" s="12" t="s">
        <v>545</v>
      </c>
      <c r="L9" s="86">
        <v>1</v>
      </c>
      <c r="N9" s="18" t="s">
        <v>546</v>
      </c>
      <c r="O9" s="87">
        <f>C11+F11+I11+L11</f>
        <v>0</v>
      </c>
    </row>
    <row r="10" spans="1:22" ht="21.75" customHeight="1">
      <c r="B10" s="140" t="s">
        <v>134</v>
      </c>
      <c r="C10" s="140"/>
      <c r="E10" s="140" t="s">
        <v>134</v>
      </c>
      <c r="F10" s="140"/>
      <c r="H10" s="140" t="s">
        <v>134</v>
      </c>
      <c r="I10" s="140"/>
      <c r="K10" s="140" t="s">
        <v>134</v>
      </c>
      <c r="L10" s="140"/>
      <c r="N10" s="15" t="s">
        <v>473</v>
      </c>
      <c r="O10" s="84">
        <f>C30+F30+I30+L30</f>
        <v>0</v>
      </c>
    </row>
    <row r="11" spans="1:22" ht="18" customHeight="1">
      <c r="B11" s="15" t="s">
        <v>547</v>
      </c>
      <c r="C11" s="37">
        <f>C8*C6</f>
        <v>0</v>
      </c>
      <c r="E11" s="15" t="s">
        <v>547</v>
      </c>
      <c r="F11" s="37">
        <f>F8*F6</f>
        <v>0</v>
      </c>
      <c r="H11" s="15" t="s">
        <v>547</v>
      </c>
      <c r="I11" s="37">
        <f>I8*I6</f>
        <v>0</v>
      </c>
      <c r="K11" s="15" t="s">
        <v>547</v>
      </c>
      <c r="L11" s="37">
        <f>L8*L6</f>
        <v>0</v>
      </c>
      <c r="N11" s="89" t="s">
        <v>548</v>
      </c>
      <c r="O11" s="41">
        <f>C32+F32+I32+L32</f>
        <v>0</v>
      </c>
    </row>
    <row r="12" spans="1:22" ht="21.75" customHeight="1">
      <c r="B12" s="128" t="s">
        <v>549</v>
      </c>
      <c r="C12" s="128"/>
      <c r="E12" s="128" t="s">
        <v>549</v>
      </c>
      <c r="F12" s="128"/>
      <c r="H12" s="128" t="s">
        <v>549</v>
      </c>
      <c r="I12" s="128"/>
      <c r="K12" s="128" t="s">
        <v>549</v>
      </c>
      <c r="L12" s="128"/>
    </row>
    <row r="13" spans="1:22" ht="18" customHeight="1">
      <c r="B13" s="39" t="s">
        <v>550</v>
      </c>
      <c r="C13" s="87">
        <v>0</v>
      </c>
      <c r="E13" s="18" t="s">
        <v>550</v>
      </c>
      <c r="F13" s="87">
        <v>0</v>
      </c>
      <c r="H13" s="18" t="s">
        <v>550</v>
      </c>
      <c r="I13" s="87">
        <v>0</v>
      </c>
      <c r="K13" s="18" t="s">
        <v>550</v>
      </c>
      <c r="L13" s="87">
        <v>0</v>
      </c>
    </row>
    <row r="14" spans="1:22" ht="18" customHeight="1">
      <c r="B14" s="15" t="s">
        <v>551</v>
      </c>
      <c r="C14" s="84">
        <v>0</v>
      </c>
      <c r="E14" s="15" t="s">
        <v>551</v>
      </c>
      <c r="F14" s="84">
        <v>0</v>
      </c>
      <c r="H14" s="15" t="s">
        <v>551</v>
      </c>
      <c r="I14" s="84">
        <v>0</v>
      </c>
      <c r="K14" s="15" t="s">
        <v>551</v>
      </c>
      <c r="L14" s="84">
        <v>0</v>
      </c>
    </row>
    <row r="15" spans="1:22" ht="18" customHeight="1">
      <c r="B15" s="18" t="s">
        <v>552</v>
      </c>
      <c r="C15" s="87">
        <v>0</v>
      </c>
      <c r="E15" s="18" t="s">
        <v>552</v>
      </c>
      <c r="F15" s="87">
        <v>0</v>
      </c>
      <c r="H15" s="18" t="s">
        <v>552</v>
      </c>
      <c r="I15" s="87">
        <v>0</v>
      </c>
      <c r="K15" s="18" t="s">
        <v>552</v>
      </c>
      <c r="L15" s="87">
        <v>0</v>
      </c>
    </row>
    <row r="16" spans="1:22" ht="18" customHeight="1">
      <c r="B16" s="15" t="s">
        <v>553</v>
      </c>
      <c r="C16" s="84">
        <v>0</v>
      </c>
      <c r="E16" s="15" t="s">
        <v>553</v>
      </c>
      <c r="F16" s="84">
        <v>0</v>
      </c>
      <c r="H16" s="15" t="s">
        <v>553</v>
      </c>
      <c r="I16" s="84">
        <v>0</v>
      </c>
      <c r="K16" s="15" t="s">
        <v>553</v>
      </c>
      <c r="L16" s="84">
        <v>0</v>
      </c>
    </row>
    <row r="17" spans="2:12" ht="18" customHeight="1">
      <c r="B17" s="18" t="s">
        <v>293</v>
      </c>
      <c r="C17" s="87">
        <v>0</v>
      </c>
      <c r="E17" s="18" t="s">
        <v>293</v>
      </c>
      <c r="F17" s="87">
        <v>0</v>
      </c>
      <c r="H17" s="18" t="s">
        <v>293</v>
      </c>
      <c r="I17" s="87">
        <v>0</v>
      </c>
      <c r="K17" s="18" t="s">
        <v>293</v>
      </c>
      <c r="L17" s="87">
        <v>0</v>
      </c>
    </row>
    <row r="18" spans="2:12" ht="18" customHeight="1">
      <c r="B18" s="22" t="s">
        <v>554</v>
      </c>
      <c r="C18" s="84">
        <v>0</v>
      </c>
      <c r="E18" s="15" t="s">
        <v>554</v>
      </c>
      <c r="F18" s="84">
        <v>0</v>
      </c>
      <c r="H18" s="15" t="s">
        <v>554</v>
      </c>
      <c r="I18" s="84">
        <v>0</v>
      </c>
      <c r="K18" s="15" t="s">
        <v>554</v>
      </c>
      <c r="L18" s="84">
        <v>0</v>
      </c>
    </row>
    <row r="19" spans="2:12" ht="18" customHeight="1">
      <c r="B19" s="39" t="s">
        <v>555</v>
      </c>
      <c r="C19" s="87">
        <v>0</v>
      </c>
      <c r="E19" s="18" t="s">
        <v>555</v>
      </c>
      <c r="F19" s="87">
        <v>0</v>
      </c>
      <c r="H19" s="18" t="s">
        <v>555</v>
      </c>
      <c r="I19" s="87">
        <v>0</v>
      </c>
      <c r="K19" s="18" t="s">
        <v>555</v>
      </c>
      <c r="L19" s="87">
        <v>0</v>
      </c>
    </row>
    <row r="20" spans="2:12" ht="18" customHeight="1">
      <c r="B20" s="15" t="s">
        <v>335</v>
      </c>
      <c r="C20" s="84">
        <v>0</v>
      </c>
      <c r="E20" s="15" t="s">
        <v>335</v>
      </c>
      <c r="F20" s="84">
        <v>0</v>
      </c>
      <c r="H20" s="15" t="s">
        <v>335</v>
      </c>
      <c r="I20" s="84">
        <v>0</v>
      </c>
      <c r="K20" s="15" t="s">
        <v>335</v>
      </c>
      <c r="L20" s="84">
        <v>0</v>
      </c>
    </row>
    <row r="21" spans="2:12" ht="18" customHeight="1">
      <c r="B21" s="18" t="s">
        <v>556</v>
      </c>
      <c r="C21" s="87">
        <v>0</v>
      </c>
      <c r="E21" s="18" t="s">
        <v>556</v>
      </c>
      <c r="F21" s="87">
        <v>0</v>
      </c>
      <c r="H21" s="18" t="s">
        <v>556</v>
      </c>
      <c r="I21" s="87">
        <v>0</v>
      </c>
      <c r="K21" s="18" t="s">
        <v>556</v>
      </c>
      <c r="L21" s="87">
        <v>0</v>
      </c>
    </row>
    <row r="22" spans="2:12" ht="18" customHeight="1">
      <c r="B22" s="15" t="s">
        <v>557</v>
      </c>
      <c r="C22" s="84">
        <v>0</v>
      </c>
      <c r="E22" s="15" t="s">
        <v>557</v>
      </c>
      <c r="F22" s="84">
        <v>0</v>
      </c>
      <c r="H22" s="15" t="s">
        <v>557</v>
      </c>
      <c r="I22" s="84">
        <v>0</v>
      </c>
      <c r="K22" s="15" t="s">
        <v>557</v>
      </c>
      <c r="L22" s="84">
        <v>0</v>
      </c>
    </row>
    <row r="23" spans="2:12" ht="18" customHeight="1">
      <c r="B23" s="18" t="s">
        <v>558</v>
      </c>
      <c r="C23" s="87">
        <v>0</v>
      </c>
      <c r="E23" s="18" t="s">
        <v>558</v>
      </c>
      <c r="F23" s="87">
        <v>0</v>
      </c>
      <c r="H23" s="18" t="s">
        <v>558</v>
      </c>
      <c r="I23" s="87">
        <v>0</v>
      </c>
      <c r="K23" s="18" t="s">
        <v>558</v>
      </c>
      <c r="L23" s="87">
        <v>0</v>
      </c>
    </row>
    <row r="24" spans="2:12" ht="18" customHeight="1">
      <c r="B24" s="15" t="s">
        <v>559</v>
      </c>
      <c r="C24" s="84">
        <v>0</v>
      </c>
      <c r="E24" s="15" t="s">
        <v>559</v>
      </c>
      <c r="F24" s="84">
        <v>0</v>
      </c>
      <c r="H24" s="15" t="s">
        <v>559</v>
      </c>
      <c r="I24" s="84">
        <v>0</v>
      </c>
      <c r="K24" s="15" t="s">
        <v>559</v>
      </c>
      <c r="L24" s="84">
        <v>0</v>
      </c>
    </row>
    <row r="25" spans="2:12" ht="18" customHeight="1">
      <c r="B25" s="18" t="s">
        <v>560</v>
      </c>
      <c r="C25" s="87">
        <v>0</v>
      </c>
      <c r="E25" s="18" t="s">
        <v>560</v>
      </c>
      <c r="F25" s="87">
        <v>0</v>
      </c>
      <c r="H25" s="18" t="s">
        <v>560</v>
      </c>
      <c r="I25" s="87">
        <v>0</v>
      </c>
      <c r="K25" s="18" t="s">
        <v>560</v>
      </c>
      <c r="L25" s="87">
        <v>0</v>
      </c>
    </row>
    <row r="26" spans="2:12" ht="18" customHeight="1">
      <c r="B26" s="22" t="s">
        <v>561</v>
      </c>
      <c r="C26" s="84">
        <v>0</v>
      </c>
      <c r="E26" s="15" t="s">
        <v>561</v>
      </c>
      <c r="F26" s="84">
        <v>0</v>
      </c>
      <c r="H26" s="15" t="s">
        <v>561</v>
      </c>
      <c r="I26" s="84">
        <v>0</v>
      </c>
      <c r="K26" s="15" t="s">
        <v>561</v>
      </c>
      <c r="L26" s="84">
        <v>0</v>
      </c>
    </row>
    <row r="27" spans="2:12" ht="18" customHeight="1">
      <c r="B27" s="39" t="s">
        <v>562</v>
      </c>
      <c r="C27" s="87">
        <v>0</v>
      </c>
      <c r="E27" s="18" t="s">
        <v>562</v>
      </c>
      <c r="F27" s="87">
        <v>0</v>
      </c>
      <c r="H27" s="18" t="s">
        <v>562</v>
      </c>
      <c r="I27" s="87">
        <v>0</v>
      </c>
      <c r="K27" s="18" t="s">
        <v>562</v>
      </c>
      <c r="L27" s="87">
        <v>0</v>
      </c>
    </row>
    <row r="28" spans="2:12" ht="18" customHeight="1">
      <c r="B28" s="15" t="s">
        <v>563</v>
      </c>
      <c r="C28" s="84">
        <v>0</v>
      </c>
      <c r="E28" s="15" t="s">
        <v>563</v>
      </c>
      <c r="F28" s="84">
        <v>0</v>
      </c>
      <c r="H28" s="15" t="s">
        <v>563</v>
      </c>
      <c r="I28" s="84">
        <v>0</v>
      </c>
      <c r="K28" s="15" t="s">
        <v>563</v>
      </c>
      <c r="L28" s="84">
        <v>0</v>
      </c>
    </row>
    <row r="29" spans="2:12" ht="18" customHeight="1">
      <c r="B29" s="18" t="s">
        <v>564</v>
      </c>
      <c r="C29" s="87">
        <v>0</v>
      </c>
      <c r="E29" s="18" t="s">
        <v>564</v>
      </c>
      <c r="F29" s="87">
        <v>0</v>
      </c>
      <c r="H29" s="18" t="s">
        <v>564</v>
      </c>
      <c r="I29" s="87">
        <v>0</v>
      </c>
      <c r="K29" s="18" t="s">
        <v>564</v>
      </c>
      <c r="L29" s="87">
        <v>0</v>
      </c>
    </row>
    <row r="30" spans="2:12" ht="18" customHeight="1">
      <c r="B30" s="119" t="s">
        <v>473</v>
      </c>
      <c r="C30" s="41">
        <f>SUM(C13:C29)</f>
        <v>0</v>
      </c>
      <c r="E30" s="119" t="s">
        <v>473</v>
      </c>
      <c r="F30" s="41">
        <f>SUM(F13:F29)</f>
        <v>0</v>
      </c>
      <c r="H30" s="119" t="s">
        <v>473</v>
      </c>
      <c r="I30" s="41">
        <f>SUM(I13:I29)</f>
        <v>0</v>
      </c>
      <c r="K30" s="119" t="s">
        <v>473</v>
      </c>
      <c r="L30" s="41">
        <f>SUM(L13:L29)</f>
        <v>0</v>
      </c>
    </row>
    <row r="31" spans="2:12" ht="18" customHeight="1">
      <c r="B31" s="80" t="s">
        <v>565</v>
      </c>
      <c r="C31" s="81">
        <f>C11-C30</f>
        <v>0</v>
      </c>
      <c r="E31" s="80" t="s">
        <v>565</v>
      </c>
      <c r="F31" s="81">
        <f>F11-F30</f>
        <v>0</v>
      </c>
      <c r="H31" s="80" t="s">
        <v>565</v>
      </c>
      <c r="I31" s="81">
        <f>I11-I30</f>
        <v>0</v>
      </c>
      <c r="K31" s="80" t="s">
        <v>565</v>
      </c>
      <c r="L31" s="81">
        <f>L11-L30</f>
        <v>0</v>
      </c>
    </row>
    <row r="32" spans="2:12" ht="18" customHeight="1">
      <c r="B32" s="119" t="s">
        <v>566</v>
      </c>
      <c r="C32" s="41">
        <f>C31*C9</f>
        <v>0</v>
      </c>
      <c r="E32" s="119" t="s">
        <v>566</v>
      </c>
      <c r="F32" s="41">
        <f>F31*F9</f>
        <v>0</v>
      </c>
      <c r="H32" s="119" t="s">
        <v>566</v>
      </c>
      <c r="I32" s="41">
        <f>I31*I9</f>
        <v>0</v>
      </c>
      <c r="K32" s="119" t="s">
        <v>566</v>
      </c>
      <c r="L32" s="41">
        <f>L31*L9</f>
        <v>0</v>
      </c>
    </row>
    <row r="35" spans="2:15" ht="18" customHeight="1">
      <c r="B35" s="130" t="s">
        <v>567</v>
      </c>
      <c r="C35" s="130"/>
      <c r="D35" s="130"/>
      <c r="E35" s="130"/>
      <c r="F35" s="130"/>
      <c r="G35" s="130"/>
      <c r="H35" s="130"/>
      <c r="I35" s="130"/>
    </row>
    <row r="36" spans="2:15" ht="24" customHeight="1">
      <c r="B36" s="131" t="s">
        <v>568</v>
      </c>
      <c r="C36" s="131"/>
      <c r="D36" s="122"/>
      <c r="E36" s="122"/>
      <c r="F36" s="122"/>
      <c r="G36" s="122"/>
      <c r="H36" s="122"/>
      <c r="I36" s="122"/>
    </row>
    <row r="37" spans="2:15" ht="18" customHeight="1">
      <c r="B37" s="125" t="s">
        <v>569</v>
      </c>
      <c r="C37" s="125"/>
      <c r="D37" s="124" t="s">
        <v>570</v>
      </c>
      <c r="E37" s="124"/>
      <c r="F37" s="124"/>
      <c r="G37" s="124"/>
      <c r="H37" s="124"/>
      <c r="I37" s="124"/>
    </row>
    <row r="38" spans="2:15" ht="18" customHeight="1">
      <c r="B38" s="121" t="s">
        <v>571</v>
      </c>
      <c r="C38" s="121"/>
      <c r="D38" s="122" t="s">
        <v>572</v>
      </c>
      <c r="E38" s="122"/>
      <c r="F38" s="122"/>
      <c r="G38" s="122"/>
      <c r="H38" s="122"/>
      <c r="I38" s="122"/>
    </row>
    <row r="39" spans="2:15" ht="18" customHeight="1">
      <c r="B39" s="123" t="s">
        <v>573</v>
      </c>
      <c r="C39" s="123"/>
      <c r="D39" s="124" t="s">
        <v>574</v>
      </c>
      <c r="E39" s="124"/>
      <c r="F39" s="124"/>
      <c r="G39" s="124"/>
      <c r="H39" s="124"/>
      <c r="I39" s="124"/>
    </row>
    <row r="40" spans="2:15" ht="18" customHeight="1">
      <c r="B40" s="151" t="s">
        <v>575</v>
      </c>
      <c r="C40" s="151"/>
      <c r="D40" s="122" t="s">
        <v>576</v>
      </c>
      <c r="E40" s="122"/>
      <c r="F40" s="122"/>
      <c r="G40" s="122"/>
      <c r="H40" s="122"/>
      <c r="I40" s="122"/>
    </row>
    <row r="41" spans="2:15" ht="18" customHeight="1">
      <c r="B41" s="123" t="s">
        <v>577</v>
      </c>
      <c r="C41" s="123"/>
      <c r="D41" s="124" t="s">
        <v>578</v>
      </c>
      <c r="E41" s="124"/>
      <c r="F41" s="124"/>
      <c r="G41" s="124"/>
      <c r="H41" s="124"/>
      <c r="I41" s="124"/>
    </row>
    <row r="42" spans="2:15" ht="18" customHeight="1">
      <c r="B42" s="121" t="s">
        <v>579</v>
      </c>
      <c r="C42" s="121"/>
      <c r="D42" s="122" t="s">
        <v>580</v>
      </c>
      <c r="E42" s="122"/>
      <c r="F42" s="122"/>
      <c r="G42" s="122"/>
      <c r="H42" s="122"/>
      <c r="I42" s="122"/>
    </row>
    <row r="43" spans="2:15" ht="18" customHeight="1">
      <c r="B43" s="123" t="s">
        <v>107</v>
      </c>
      <c r="C43" s="123"/>
      <c r="D43" s="124" t="s">
        <v>581</v>
      </c>
      <c r="E43" s="124"/>
      <c r="F43" s="124"/>
      <c r="G43" s="124"/>
      <c r="H43" s="124"/>
      <c r="I43" s="124"/>
    </row>
    <row r="45" spans="2:15" ht="1.5" customHeight="1">
      <c r="B45" s="23"/>
      <c r="C45" s="23"/>
      <c r="D45" s="23"/>
      <c r="E45" s="23"/>
      <c r="F45" s="23"/>
      <c r="G45" s="23"/>
      <c r="H45" s="23"/>
      <c r="I45" s="23"/>
      <c r="J45" s="23"/>
      <c r="K45" s="23"/>
      <c r="L45" s="23"/>
      <c r="M45" s="23"/>
      <c r="N45" s="23"/>
      <c r="O45" s="23"/>
    </row>
    <row r="46" spans="2:15" ht="18" customHeight="1">
      <c r="B46" s="120" t="str">
        <f>"Prepared by Baobab Consulting  ·  Commercial in Confidence — "&amp;FamilyName&amp;" Group  ·  FY "&amp;FYYear</f>
        <v>Prepared by Baobab Consulting  ·  Commercial in Confidence — Le Group  ·  FY 2025-26</v>
      </c>
      <c r="C46" s="120"/>
      <c r="D46" s="120"/>
      <c r="E46" s="120"/>
      <c r="F46" s="120"/>
      <c r="G46" s="120"/>
      <c r="H46" s="120"/>
      <c r="I46" s="120"/>
      <c r="J46" s="120"/>
      <c r="K46" s="120"/>
      <c r="L46" s="120"/>
      <c r="M46" s="120"/>
      <c r="N46" s="120"/>
      <c r="O46" s="120"/>
    </row>
  </sheetData>
  <sheetProtection password="CBB8" sheet="1" objects="1" scenarios="1" formatCells="0" formatColumns="0" formatRows="0" insertColumns="0" insertRows="0" deleteColumns="0" deleteRows="0" sort="0" autoFilter="0"/>
  <mergeCells count="30">
    <mergeCell ref="C1:R1"/>
    <mergeCell ref="C2:R2"/>
    <mergeCell ref="B3:R3"/>
    <mergeCell ref="N8:O8"/>
    <mergeCell ref="B10:C10"/>
    <mergeCell ref="E10:F10"/>
    <mergeCell ref="H10:I10"/>
    <mergeCell ref="K10:L10"/>
    <mergeCell ref="B12:C12"/>
    <mergeCell ref="E12:F12"/>
    <mergeCell ref="H12:I12"/>
    <mergeCell ref="K12:L12"/>
    <mergeCell ref="B35:I35"/>
    <mergeCell ref="B36:C36"/>
    <mergeCell ref="D36:I36"/>
    <mergeCell ref="B37:C37"/>
    <mergeCell ref="D37:I37"/>
    <mergeCell ref="B38:C38"/>
    <mergeCell ref="D38:I38"/>
    <mergeCell ref="B39:C39"/>
    <mergeCell ref="D39:I39"/>
    <mergeCell ref="B40:C40"/>
    <mergeCell ref="D40:I40"/>
    <mergeCell ref="B41:C41"/>
    <mergeCell ref="D41:I41"/>
    <mergeCell ref="B42:C42"/>
    <mergeCell ref="D42:I42"/>
    <mergeCell ref="B43:C43"/>
    <mergeCell ref="D43:I43"/>
    <mergeCell ref="B46:O46"/>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52"/>
  <sheetViews>
    <sheetView showGridLines="0" zoomScaleNormal="100" workbookViewId="0">
      <pane xSplit="1" ySplit="3" topLeftCell="B4" activePane="bottomRight" state="frozen"/>
      <selection pane="bottomRight"/>
      <selection pane="bottomLeft" activeCell="A4" sqref="A4"/>
      <selection pane="topRight" activeCell="B1" sqref="B1"/>
    </sheetView>
  </sheetViews>
  <sheetFormatPr defaultColWidth="8.7109375" defaultRowHeight="15"/>
  <cols>
    <col min="1" max="1" width="2" style="1" customWidth="1"/>
    <col min="2" max="2" width="32" style="1" customWidth="1"/>
    <col min="3" max="6" width="16" style="1" customWidth="1"/>
    <col min="7" max="7" width="3" style="1" customWidth="1"/>
    <col min="8" max="8" width="32" style="1" customWidth="1"/>
    <col min="9" max="10" width="18" style="1" customWidth="1"/>
  </cols>
  <sheetData>
    <row r="1" spans="1:17" ht="90" customHeight="1">
      <c r="A1" s="8"/>
      <c r="B1" s="8"/>
      <c r="C1" s="132" t="str">
        <f>FamilyName&amp;" Group — Goals, Milestones &amp; Superannuation"</f>
        <v>Le Group — Goals, Milestones &amp; Superannuation</v>
      </c>
      <c r="D1" s="132"/>
      <c r="E1" s="132"/>
      <c r="F1" s="132"/>
      <c r="G1" s="132"/>
      <c r="H1" s="132"/>
      <c r="I1" s="132"/>
      <c r="J1" s="132"/>
      <c r="K1" s="132"/>
      <c r="L1" s="132"/>
      <c r="M1" s="132"/>
      <c r="N1" s="8"/>
      <c r="O1" s="8"/>
      <c r="P1" s="8"/>
      <c r="Q1" s="9"/>
    </row>
    <row r="2" spans="1:17" ht="18" customHeight="1">
      <c r="A2" s="10"/>
      <c r="B2" s="10"/>
      <c r="C2" s="133" t="str">
        <f>"FY "&amp;FYYear&amp;"  ·  Baobab Consulting  ·  Confidential"</f>
        <v>FY 2025-26  ·  Baobab Consulting  ·  Confidential</v>
      </c>
      <c r="D2" s="133"/>
      <c r="E2" s="133"/>
      <c r="F2" s="133"/>
      <c r="G2" s="133"/>
      <c r="H2" s="133"/>
      <c r="I2" s="133"/>
      <c r="J2" s="133"/>
      <c r="K2" s="133"/>
      <c r="L2" s="133"/>
      <c r="M2" s="133"/>
      <c r="N2" s="10"/>
      <c r="O2" s="10"/>
      <c r="P2" s="10"/>
      <c r="Q2" s="9"/>
    </row>
    <row r="3" spans="1:17" ht="13.5" customHeight="1">
      <c r="A3" s="11"/>
      <c r="B3" s="134" t="s">
        <v>1</v>
      </c>
      <c r="C3" s="134"/>
      <c r="D3" s="134"/>
      <c r="E3" s="134"/>
      <c r="F3" s="134"/>
      <c r="G3" s="134"/>
      <c r="H3" s="134"/>
      <c r="I3" s="134"/>
      <c r="J3" s="134"/>
      <c r="K3" s="134"/>
      <c r="L3" s="134"/>
      <c r="M3" s="134"/>
      <c r="N3" s="11"/>
      <c r="O3" s="11"/>
      <c r="P3" s="11"/>
      <c r="Q3" s="9"/>
    </row>
    <row r="4" spans="1:17" ht="21.75" customHeight="1">
      <c r="B4" s="117" t="s">
        <v>582</v>
      </c>
    </row>
    <row r="5" spans="1:17" ht="30" customHeight="1">
      <c r="B5" s="116" t="s">
        <v>539</v>
      </c>
      <c r="C5" s="116" t="s">
        <v>583</v>
      </c>
      <c r="D5" s="116" t="s">
        <v>584</v>
      </c>
      <c r="E5" s="116" t="s">
        <v>585</v>
      </c>
      <c r="F5" s="116" t="s">
        <v>586</v>
      </c>
    </row>
    <row r="6" spans="1:17" ht="18" customHeight="1">
      <c r="B6" s="15" t="s">
        <v>587</v>
      </c>
      <c r="C6" s="37">
        <f>'🏠 Household Expenditure'!G109/2</f>
        <v>0</v>
      </c>
      <c r="D6" s="42">
        <v>0</v>
      </c>
      <c r="E6" s="37">
        <f>MAX(0,C6-D6)</f>
        <v>0</v>
      </c>
      <c r="F6" s="93">
        <f>IF(C6&gt;0,D6/(C6/6),0)</f>
        <v>0</v>
      </c>
    </row>
    <row r="8" spans="1:17" ht="18" customHeight="1">
      <c r="B8" s="154" t="s">
        <v>588</v>
      </c>
      <c r="C8" s="154"/>
      <c r="D8" s="154"/>
      <c r="E8" s="154"/>
      <c r="F8" s="154"/>
    </row>
    <row r="9" spans="1:17" ht="21.75" customHeight="1">
      <c r="B9" s="116" t="s">
        <v>589</v>
      </c>
      <c r="C9" s="116" t="s">
        <v>590</v>
      </c>
      <c r="D9" s="116" t="s">
        <v>591</v>
      </c>
      <c r="E9" s="116" t="s">
        <v>592</v>
      </c>
      <c r="F9" s="116" t="s">
        <v>593</v>
      </c>
    </row>
    <row r="10" spans="1:17" ht="18" customHeight="1">
      <c r="B10" s="22" t="s">
        <v>594</v>
      </c>
      <c r="C10" s="42">
        <v>15000</v>
      </c>
      <c r="D10" s="42">
        <v>0</v>
      </c>
      <c r="E10" s="94" t="s">
        <v>595</v>
      </c>
      <c r="F10" s="84">
        <f>MAX(0,(C10-D10)/12)</f>
        <v>1250</v>
      </c>
    </row>
    <row r="11" spans="1:17" ht="18" customHeight="1">
      <c r="B11" s="39" t="s">
        <v>596</v>
      </c>
      <c r="C11" s="42">
        <v>8000</v>
      </c>
      <c r="D11" s="42">
        <v>0</v>
      </c>
      <c r="E11" s="95" t="s">
        <v>595</v>
      </c>
      <c r="F11" s="87">
        <f>MAX(0,(C11-D11)/12)</f>
        <v>666.66666666666663</v>
      </c>
    </row>
    <row r="12" spans="1:17" ht="18" customHeight="1">
      <c r="B12" s="22" t="s">
        <v>597</v>
      </c>
      <c r="C12" s="42">
        <v>50000</v>
      </c>
      <c r="D12" s="42">
        <v>0</v>
      </c>
      <c r="E12" s="94" t="s">
        <v>598</v>
      </c>
      <c r="F12" s="84">
        <f>MAX(0,(C12-D12)/12)</f>
        <v>4166.666666666667</v>
      </c>
    </row>
    <row r="13" spans="1:17" ht="18" customHeight="1">
      <c r="B13" s="39" t="s">
        <v>599</v>
      </c>
      <c r="C13" s="42">
        <v>50000</v>
      </c>
      <c r="D13" s="42">
        <v>0</v>
      </c>
      <c r="E13" s="95" t="s">
        <v>600</v>
      </c>
      <c r="F13" s="87">
        <f>MAX(0,(C13-D13)/12)</f>
        <v>4166.666666666667</v>
      </c>
    </row>
    <row r="14" spans="1:17" ht="18" customHeight="1">
      <c r="B14" s="22" t="s">
        <v>601</v>
      </c>
      <c r="C14" s="42">
        <v>40000</v>
      </c>
      <c r="D14" s="42">
        <v>0</v>
      </c>
      <c r="E14" s="94" t="s">
        <v>602</v>
      </c>
      <c r="F14" s="84">
        <f>MAX(0,(C14-D14)/12)</f>
        <v>3333.3333333333335</v>
      </c>
    </row>
    <row r="15" spans="1:17" ht="18" customHeight="1">
      <c r="B15" s="39" t="s">
        <v>603</v>
      </c>
      <c r="C15" s="42">
        <v>40000</v>
      </c>
      <c r="D15" s="42">
        <v>0</v>
      </c>
      <c r="E15" s="95" t="s">
        <v>604</v>
      </c>
      <c r="F15" s="87">
        <f>MAX(0,(C15-D15)/12)</f>
        <v>3333.3333333333335</v>
      </c>
    </row>
    <row r="16" spans="1:17" ht="18" customHeight="1">
      <c r="B16" s="15" t="s">
        <v>605</v>
      </c>
      <c r="C16" s="42">
        <v>50000</v>
      </c>
      <c r="D16" s="42">
        <v>0</v>
      </c>
      <c r="E16" s="94" t="s">
        <v>606</v>
      </c>
      <c r="F16" s="84">
        <f>MAX(0,(C16-D16)/12)</f>
        <v>4166.666666666667</v>
      </c>
    </row>
    <row r="17" spans="2:6" ht="18" customHeight="1">
      <c r="B17" s="39" t="s">
        <v>607</v>
      </c>
      <c r="C17" s="42">
        <v>200000</v>
      </c>
      <c r="D17" s="42">
        <v>0</v>
      </c>
      <c r="E17" s="95" t="s">
        <v>604</v>
      </c>
      <c r="F17" s="87">
        <f>MAX(0,(C17-D17)/12)</f>
        <v>16666.666666666668</v>
      </c>
    </row>
    <row r="18" spans="2:6" ht="18" customHeight="1">
      <c r="B18" s="15" t="s">
        <v>608</v>
      </c>
      <c r="C18" s="42">
        <v>0</v>
      </c>
      <c r="D18" s="42">
        <v>0</v>
      </c>
      <c r="E18" s="94"/>
      <c r="F18" s="84">
        <f>MAX(0,(C18-D18)/12)</f>
        <v>0</v>
      </c>
    </row>
    <row r="19" spans="2:6" ht="18" customHeight="1">
      <c r="B19" s="18" t="s">
        <v>609</v>
      </c>
      <c r="C19" s="42">
        <v>0</v>
      </c>
      <c r="D19" s="42">
        <v>0</v>
      </c>
      <c r="E19" s="95"/>
      <c r="F19" s="87">
        <f>MAX(0,(C19-D19)/12)</f>
        <v>0</v>
      </c>
    </row>
    <row r="21" spans="2:6" ht="21.75" customHeight="1">
      <c r="B21" s="140" t="s">
        <v>610</v>
      </c>
      <c r="C21" s="140"/>
      <c r="D21" s="140"/>
      <c r="E21" s="140"/>
      <c r="F21" s="140"/>
    </row>
    <row r="22" spans="2:6" ht="21.75" customHeight="1">
      <c r="B22" s="116" t="s">
        <v>611</v>
      </c>
      <c r="C22" s="112" t="str">
        <f>Person1</f>
        <v>Lina</v>
      </c>
      <c r="D22" s="112" t="str">
        <f>Person2</f>
        <v>TBC</v>
      </c>
      <c r="E22" s="116" t="s">
        <v>27</v>
      </c>
    </row>
    <row r="23" spans="2:6" ht="18" customHeight="1">
      <c r="B23" s="22" t="s">
        <v>612</v>
      </c>
      <c r="C23" s="42">
        <v>0</v>
      </c>
      <c r="D23" s="42">
        <v>0</v>
      </c>
      <c r="E23" s="36" t="s">
        <v>613</v>
      </c>
    </row>
    <row r="24" spans="2:6" ht="18" customHeight="1">
      <c r="B24" s="18" t="s">
        <v>614</v>
      </c>
      <c r="C24" s="86">
        <v>0</v>
      </c>
      <c r="D24" s="86">
        <v>0</v>
      </c>
      <c r="E24" s="38" t="s">
        <v>615</v>
      </c>
    </row>
    <row r="25" spans="2:6" ht="18" customHeight="1">
      <c r="B25" s="22" t="s">
        <v>616</v>
      </c>
      <c r="C25" s="86">
        <v>65</v>
      </c>
      <c r="D25" s="86">
        <v>65</v>
      </c>
      <c r="E25" s="36" t="s">
        <v>617</v>
      </c>
    </row>
    <row r="26" spans="2:6" ht="18" customHeight="1">
      <c r="B26" s="18" t="s">
        <v>618</v>
      </c>
      <c r="C26" s="96">
        <v>0</v>
      </c>
      <c r="D26" s="96">
        <v>0</v>
      </c>
      <c r="E26" s="38" t="s">
        <v>619</v>
      </c>
    </row>
    <row r="27" spans="2:6" ht="18" customHeight="1">
      <c r="B27" s="22" t="s">
        <v>620</v>
      </c>
      <c r="C27" s="42">
        <v>0</v>
      </c>
      <c r="D27" s="42">
        <v>0</v>
      </c>
      <c r="E27" s="36" t="s">
        <v>621</v>
      </c>
    </row>
    <row r="28" spans="2:6" ht="18" customHeight="1">
      <c r="B28" s="39" t="s">
        <v>622</v>
      </c>
      <c r="C28" s="37">
        <v>0</v>
      </c>
      <c r="D28" s="37">
        <v>0</v>
      </c>
      <c r="E28" s="38" t="s">
        <v>623</v>
      </c>
    </row>
    <row r="29" spans="2:6" ht="18" customHeight="1">
      <c r="B29" s="22" t="s">
        <v>624</v>
      </c>
      <c r="C29" s="42">
        <v>1500000</v>
      </c>
      <c r="D29" s="42">
        <v>1500000</v>
      </c>
      <c r="E29" s="36" t="s">
        <v>625</v>
      </c>
    </row>
    <row r="30" spans="2:6" ht="18" customHeight="1">
      <c r="B30" s="18" t="s">
        <v>626</v>
      </c>
      <c r="C30" s="37">
        <v>0</v>
      </c>
      <c r="D30" s="37">
        <v>0</v>
      </c>
      <c r="E30" s="38"/>
    </row>
    <row r="32" spans="2:6" ht="18" customHeight="1">
      <c r="B32" s="154" t="s">
        <v>627</v>
      </c>
      <c r="C32" s="154"/>
      <c r="D32" s="154"/>
      <c r="E32" s="154"/>
      <c r="F32" s="154"/>
    </row>
    <row r="33" spans="2:9" ht="21.75" customHeight="1">
      <c r="B33" s="116" t="s">
        <v>539</v>
      </c>
      <c r="C33" s="112" t="str">
        <f>Person1</f>
        <v>Lina</v>
      </c>
      <c r="D33" s="112" t="str">
        <f>Person2</f>
        <v>TBC</v>
      </c>
      <c r="E33" s="116" t="s">
        <v>27</v>
      </c>
    </row>
    <row r="34" spans="2:9" ht="18" customHeight="1">
      <c r="B34" s="22" t="s">
        <v>628</v>
      </c>
      <c r="C34" s="84">
        <v>120000</v>
      </c>
      <c r="D34" s="84">
        <v>120000</v>
      </c>
      <c r="E34" s="36" t="str">
        <f>"ASFA comfortable lifestyle FY"&amp;FYYear</f>
        <v>ASFA comfortable lifestyle FY2025-26</v>
      </c>
    </row>
    <row r="35" spans="2:9" ht="18" customHeight="1">
      <c r="B35" s="39" t="s">
        <v>629</v>
      </c>
      <c r="C35" s="87">
        <v>0</v>
      </c>
      <c r="D35" s="87">
        <v>0</v>
      </c>
      <c r="E35" s="38" t="s">
        <v>630</v>
      </c>
    </row>
    <row r="36" spans="2:9" ht="18" customHeight="1">
      <c r="B36" s="22" t="s">
        <v>631</v>
      </c>
      <c r="C36" s="84">
        <v>0</v>
      </c>
      <c r="D36" s="84">
        <v>0</v>
      </c>
      <c r="E36" s="36" t="s">
        <v>632</v>
      </c>
    </row>
    <row r="37" spans="2:9" ht="18" customHeight="1">
      <c r="B37" s="39" t="s">
        <v>633</v>
      </c>
      <c r="C37" s="87">
        <v>0</v>
      </c>
      <c r="D37" s="87">
        <v>0</v>
      </c>
      <c r="E37" s="38" t="s">
        <v>634</v>
      </c>
    </row>
    <row r="38" spans="2:9" ht="18" customHeight="1">
      <c r="B38" s="22" t="s">
        <v>635</v>
      </c>
      <c r="C38" s="84">
        <v>0</v>
      </c>
      <c r="D38" s="84">
        <v>0</v>
      </c>
      <c r="E38" s="36"/>
    </row>
    <row r="41" spans="2:9" ht="18" customHeight="1">
      <c r="B41" s="130" t="s">
        <v>636</v>
      </c>
      <c r="C41" s="130"/>
      <c r="D41" s="130"/>
      <c r="E41" s="130"/>
      <c r="F41" s="130"/>
      <c r="G41" s="130"/>
      <c r="H41" s="130"/>
      <c r="I41" s="130"/>
    </row>
    <row r="42" spans="2:9" ht="36" customHeight="1">
      <c r="B42" s="131" t="s">
        <v>637</v>
      </c>
      <c r="C42" s="131"/>
      <c r="D42" s="122"/>
      <c r="E42" s="122"/>
      <c r="F42" s="122"/>
      <c r="G42" s="122"/>
      <c r="H42" s="122"/>
      <c r="I42" s="122"/>
    </row>
    <row r="43" spans="2:9" ht="18" customHeight="1">
      <c r="B43" s="123" t="s">
        <v>638</v>
      </c>
      <c r="C43" s="123"/>
      <c r="D43" s="124" t="s">
        <v>639</v>
      </c>
      <c r="E43" s="124"/>
      <c r="F43" s="124"/>
      <c r="G43" s="124"/>
      <c r="H43" s="124"/>
      <c r="I43" s="124"/>
    </row>
    <row r="44" spans="2:9" ht="18" customHeight="1">
      <c r="B44" s="151" t="s">
        <v>640</v>
      </c>
      <c r="C44" s="151"/>
      <c r="D44" s="122" t="s">
        <v>641</v>
      </c>
      <c r="E44" s="122"/>
      <c r="F44" s="122"/>
      <c r="G44" s="122"/>
      <c r="H44" s="122"/>
      <c r="I44" s="122"/>
    </row>
    <row r="45" spans="2:9" ht="18" customHeight="1">
      <c r="B45" s="125" t="s">
        <v>642</v>
      </c>
      <c r="C45" s="125"/>
      <c r="D45" s="124" t="s">
        <v>643</v>
      </c>
      <c r="E45" s="124"/>
      <c r="F45" s="124"/>
      <c r="G45" s="124"/>
      <c r="H45" s="124"/>
      <c r="I45" s="124"/>
    </row>
    <row r="46" spans="2:9" ht="18" customHeight="1">
      <c r="B46" s="153" t="str">
        <f>"→  SGC Rate FY"&amp;FYYear&amp;": 12%"</f>
        <v>→  SGC Rate FY2025-26: 12%</v>
      </c>
      <c r="C46" s="153"/>
      <c r="D46" s="122" t="s">
        <v>644</v>
      </c>
      <c r="E46" s="122"/>
      <c r="F46" s="122"/>
      <c r="G46" s="122"/>
      <c r="H46" s="122"/>
      <c r="I46" s="122"/>
    </row>
    <row r="47" spans="2:9" ht="18" customHeight="1">
      <c r="B47" s="123" t="s">
        <v>645</v>
      </c>
      <c r="C47" s="123"/>
      <c r="D47" s="124" t="s">
        <v>646</v>
      </c>
      <c r="E47" s="124"/>
      <c r="F47" s="124"/>
      <c r="G47" s="124"/>
      <c r="H47" s="124"/>
      <c r="I47" s="124"/>
    </row>
    <row r="48" spans="2:9" ht="18" customHeight="1">
      <c r="B48" s="151" t="s">
        <v>647</v>
      </c>
      <c r="C48" s="151"/>
      <c r="D48" s="122" t="str">
        <f>"ASFA comfortable lifestyle FY"&amp;FYYear</f>
        <v>ASFA comfortable lifestyle FY2025-26</v>
      </c>
      <c r="E48" s="122"/>
      <c r="F48" s="122"/>
      <c r="G48" s="122"/>
      <c r="H48" s="122"/>
      <c r="I48" s="122"/>
    </row>
    <row r="49" spans="2:10" ht="18" customHeight="1">
      <c r="B49" s="123" t="s">
        <v>107</v>
      </c>
      <c r="C49" s="123"/>
      <c r="D49" s="124" t="s">
        <v>648</v>
      </c>
      <c r="E49" s="124"/>
      <c r="F49" s="124"/>
      <c r="G49" s="124"/>
      <c r="H49" s="124"/>
      <c r="I49" s="124"/>
    </row>
    <row r="51" spans="2:10" ht="1.5" customHeight="1">
      <c r="B51" s="23"/>
      <c r="C51" s="23"/>
      <c r="D51" s="23"/>
      <c r="E51" s="23"/>
      <c r="F51" s="23"/>
      <c r="G51" s="23"/>
      <c r="H51" s="23"/>
      <c r="I51" s="23"/>
      <c r="J51" s="23"/>
    </row>
    <row r="52" spans="2:10" ht="18" customHeight="1">
      <c r="B52" s="120" t="str">
        <f>"Prepared by Baobab Consulting  ·  Commercial in Confidence — "&amp;FamilyName&amp;" Group  ·  FY "&amp;FYYear</f>
        <v>Prepared by Baobab Consulting  ·  Commercial in Confidence — Le Group  ·  FY 2025-26</v>
      </c>
      <c r="C52" s="120"/>
      <c r="D52" s="120"/>
      <c r="E52" s="120"/>
      <c r="F52" s="120"/>
      <c r="G52" s="120"/>
      <c r="H52" s="120"/>
      <c r="I52" s="120"/>
      <c r="J52" s="120"/>
    </row>
  </sheetData>
  <sheetProtection password="CBB8" sheet="1" objects="1" scenarios="1" formatCells="0" formatColumns="0" formatRows="0" insertColumns="0" insertRows="0" deleteColumns="0" deleteRows="0" sort="0" autoFilter="0"/>
  <mergeCells count="24">
    <mergeCell ref="C1:M1"/>
    <mergeCell ref="C2:M2"/>
    <mergeCell ref="B3:M3"/>
    <mergeCell ref="B8:F8"/>
    <mergeCell ref="B21:F21"/>
    <mergeCell ref="B32:F32"/>
    <mergeCell ref="B41:I41"/>
    <mergeCell ref="B42:C42"/>
    <mergeCell ref="D42:I42"/>
    <mergeCell ref="B43:C43"/>
    <mergeCell ref="D43:I43"/>
    <mergeCell ref="B44:C44"/>
    <mergeCell ref="D44:I44"/>
    <mergeCell ref="B45:C45"/>
    <mergeCell ref="D45:I45"/>
    <mergeCell ref="B46:C46"/>
    <mergeCell ref="D46:I46"/>
    <mergeCell ref="B52:J52"/>
    <mergeCell ref="B47:C47"/>
    <mergeCell ref="D47:I47"/>
    <mergeCell ref="B48:C48"/>
    <mergeCell ref="D48:I48"/>
    <mergeCell ref="B49:C49"/>
    <mergeCell ref="D49:I49"/>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7"/>
  <sheetViews>
    <sheetView showGridLines="0" zoomScaleNormal="100" workbookViewId="0">
      <pane xSplit="1" ySplit="3" topLeftCell="B4" activePane="bottomRight" state="frozen"/>
      <selection pane="bottomRight"/>
      <selection pane="bottomLeft" activeCell="A4" sqref="A4"/>
      <selection pane="topRight" activeCell="B1" sqref="B1"/>
    </sheetView>
  </sheetViews>
  <sheetFormatPr defaultColWidth="8.7109375" defaultRowHeight="15"/>
  <cols>
    <col min="1" max="1" width="2" style="1" customWidth="1"/>
    <col min="2" max="2" width="32" style="1" customWidth="1"/>
    <col min="3" max="5" width="16" style="1" customWidth="1"/>
  </cols>
  <sheetData>
    <row r="1" spans="1:12" ht="90" customHeight="1">
      <c r="A1" s="8"/>
      <c r="B1" s="8"/>
      <c r="C1" s="132" t="str">
        <f>FamilyName&amp;" Group — Household Planning Summary"</f>
        <v>Le Group — Household Planning Summary</v>
      </c>
      <c r="D1" s="132"/>
      <c r="E1" s="132"/>
      <c r="F1" s="132"/>
      <c r="G1" s="132"/>
      <c r="H1" s="132"/>
      <c r="I1" s="8"/>
      <c r="J1" s="8"/>
      <c r="K1" s="8"/>
      <c r="L1" s="9"/>
    </row>
    <row r="2" spans="1:12" ht="18" customHeight="1">
      <c r="A2" s="10"/>
      <c r="B2" s="10"/>
      <c r="C2" s="133" t="str">
        <f>"FY "&amp;FYYear&amp;"  ·  Baobab Consulting  ·  Confidential"</f>
        <v>FY 2025-26  ·  Baobab Consulting  ·  Confidential</v>
      </c>
      <c r="D2" s="133"/>
      <c r="E2" s="133"/>
      <c r="F2" s="133"/>
      <c r="G2" s="133"/>
      <c r="H2" s="133"/>
      <c r="I2" s="10"/>
      <c r="J2" s="10"/>
      <c r="K2" s="10"/>
      <c r="L2" s="9"/>
    </row>
    <row r="3" spans="1:12" ht="13.5" customHeight="1">
      <c r="A3" s="11"/>
      <c r="B3" s="134" t="s">
        <v>1</v>
      </c>
      <c r="C3" s="134"/>
      <c r="D3" s="134"/>
      <c r="E3" s="134"/>
      <c r="F3" s="134"/>
      <c r="G3" s="134"/>
      <c r="H3" s="134"/>
      <c r="I3" s="11"/>
      <c r="J3" s="11"/>
      <c r="K3" s="11"/>
      <c r="L3" s="9"/>
    </row>
    <row r="4" spans="1:12" ht="30" customHeight="1">
      <c r="B4" s="116" t="s">
        <v>129</v>
      </c>
      <c r="C4" s="116" t="s">
        <v>130</v>
      </c>
      <c r="D4" s="116" t="s">
        <v>131</v>
      </c>
      <c r="E4" s="116" t="s">
        <v>132</v>
      </c>
    </row>
    <row r="5" spans="1:12" ht="21.75" customHeight="1">
      <c r="B5" s="128" t="s">
        <v>134</v>
      </c>
      <c r="C5" s="128"/>
      <c r="D5" s="128"/>
      <c r="E5" s="128"/>
    </row>
    <row r="6" spans="1:12" ht="18" customHeight="1">
      <c r="B6" s="15" t="s">
        <v>137</v>
      </c>
      <c r="C6" s="84">
        <f>'💰 Income Planning'!F22*12/52</f>
        <v>0</v>
      </c>
      <c r="D6" s="84">
        <f>'💰 Income Planning'!F22</f>
        <v>0</v>
      </c>
      <c r="E6" s="84">
        <f>'💰 Income Planning'!F22*12</f>
        <v>0</v>
      </c>
    </row>
    <row r="7" spans="1:12" ht="18" customHeight="1">
      <c r="B7" s="18" t="s">
        <v>649</v>
      </c>
      <c r="C7" s="87">
        <f>'💰 Income Planning'!F10*12/52</f>
        <v>0</v>
      </c>
      <c r="D7" s="87">
        <f>'💰 Income Planning'!F10</f>
        <v>0</v>
      </c>
      <c r="E7" s="87">
        <f>'💰 Income Planning'!F10*12</f>
        <v>0</v>
      </c>
    </row>
    <row r="8" spans="1:12" ht="18" customHeight="1">
      <c r="B8" s="15" t="s">
        <v>650</v>
      </c>
      <c r="C8" s="84">
        <f>'💰 Income Planning'!F16*12/52</f>
        <v>0</v>
      </c>
      <c r="D8" s="84">
        <f>'💰 Income Planning'!F16</f>
        <v>0</v>
      </c>
      <c r="E8" s="84">
        <f>'💰 Income Planning'!F16*12</f>
        <v>0</v>
      </c>
    </row>
    <row r="9" spans="1:12" ht="18" customHeight="1">
      <c r="B9" s="18" t="s">
        <v>146</v>
      </c>
      <c r="C9" s="87">
        <f>'💰 Income Planning'!F28*12/52</f>
        <v>0</v>
      </c>
      <c r="D9" s="87">
        <f>'💰 Income Planning'!F28</f>
        <v>0</v>
      </c>
      <c r="E9" s="87">
        <f>'💰 Income Planning'!F28*12</f>
        <v>0</v>
      </c>
    </row>
    <row r="10" spans="1:12" ht="18" customHeight="1">
      <c r="B10" s="15" t="s">
        <v>149</v>
      </c>
      <c r="C10" s="84">
        <f>'🏘 Rental Properties'!O11/52</f>
        <v>0</v>
      </c>
      <c r="D10" s="84">
        <f>'🏘 Rental Properties'!O11/12</f>
        <v>0</v>
      </c>
      <c r="E10" s="84">
        <f>'🏘 Rental Properties'!O11</f>
        <v>0</v>
      </c>
    </row>
    <row r="11" spans="1:12" ht="18" customHeight="1">
      <c r="B11" s="119" t="s">
        <v>651</v>
      </c>
      <c r="C11" s="41">
        <f>SUM(C6:C10)</f>
        <v>0</v>
      </c>
      <c r="D11" s="41">
        <f>SUM(D6:D10)</f>
        <v>0</v>
      </c>
      <c r="E11" s="41">
        <f>SUM(E6:E10)</f>
        <v>0</v>
      </c>
    </row>
    <row r="13" spans="1:12" ht="21.75" customHeight="1">
      <c r="B13" s="128" t="s">
        <v>652</v>
      </c>
      <c r="C13" s="128"/>
      <c r="D13" s="128"/>
      <c r="E13" s="128"/>
    </row>
    <row r="14" spans="1:12" ht="18" customHeight="1">
      <c r="B14" s="15" t="s">
        <v>153</v>
      </c>
      <c r="C14" s="84">
        <f>'🏠 Household Expenditure'!G109/52</f>
        <v>0</v>
      </c>
      <c r="D14" s="84">
        <f>'🏠 Household Expenditure'!G109/12</f>
        <v>0</v>
      </c>
      <c r="E14" s="84">
        <f>'🏠 Household Expenditure'!G109</f>
        <v>0</v>
      </c>
    </row>
    <row r="15" spans="1:12" ht="18" customHeight="1">
      <c r="B15" s="18" t="s">
        <v>653</v>
      </c>
      <c r="C15" s="87">
        <f>'🏠 Household Expenditure'!N34/52</f>
        <v>0</v>
      </c>
      <c r="D15" s="87">
        <f>'🏠 Household Expenditure'!N34/12</f>
        <v>0</v>
      </c>
      <c r="E15" s="87">
        <f>'🏠 Household Expenditure'!N34</f>
        <v>0</v>
      </c>
    </row>
    <row r="16" spans="1:12" ht="18" customHeight="1">
      <c r="B16" s="15" t="s">
        <v>654</v>
      </c>
      <c r="C16" s="84">
        <f>'🏘 Rental Properties'!O10/52</f>
        <v>0</v>
      </c>
      <c r="D16" s="84">
        <f>'🏘 Rental Properties'!O10/12</f>
        <v>0</v>
      </c>
      <c r="E16" s="84">
        <f>'🏘 Rental Properties'!O10</f>
        <v>0</v>
      </c>
    </row>
    <row r="17" spans="2:9" ht="18" customHeight="1">
      <c r="B17" s="18" t="s">
        <v>655</v>
      </c>
      <c r="C17" s="87">
        <f>('🏦 Debt Schedule'!H16*12)/52</f>
        <v>0</v>
      </c>
      <c r="D17" s="87">
        <f>'🏦 Debt Schedule'!H16</f>
        <v>0</v>
      </c>
      <c r="E17" s="87">
        <f>'🏦 Debt Schedule'!H16*12</f>
        <v>0</v>
      </c>
    </row>
    <row r="18" spans="2:9" ht="18" customHeight="1">
      <c r="B18" s="15" t="s">
        <v>656</v>
      </c>
      <c r="C18" s="84">
        <f>('🏦 Debt Schedule'!H24*12)/52</f>
        <v>0</v>
      </c>
      <c r="D18" s="84">
        <f>'🏦 Debt Schedule'!H24</f>
        <v>0</v>
      </c>
      <c r="E18" s="84">
        <f>'🏦 Debt Schedule'!H24*12</f>
        <v>0</v>
      </c>
    </row>
    <row r="19" spans="2:9" ht="18" customHeight="1">
      <c r="B19" s="18" t="s">
        <v>160</v>
      </c>
      <c r="C19" s="42">
        <v>0</v>
      </c>
      <c r="D19" s="42">
        <v>0</v>
      </c>
      <c r="E19" s="42">
        <v>0</v>
      </c>
    </row>
    <row r="20" spans="2:9" ht="18" customHeight="1">
      <c r="B20" s="15" t="s">
        <v>657</v>
      </c>
      <c r="C20" s="42">
        <v>0</v>
      </c>
      <c r="D20" s="42">
        <v>0</v>
      </c>
      <c r="E20" s="42">
        <v>0</v>
      </c>
    </row>
    <row r="21" spans="2:9" ht="18" customHeight="1">
      <c r="B21" s="18" t="s">
        <v>477</v>
      </c>
      <c r="C21" s="42">
        <v>0</v>
      </c>
      <c r="D21" s="42">
        <v>0</v>
      </c>
      <c r="E21" s="42">
        <v>0</v>
      </c>
    </row>
    <row r="22" spans="2:9" ht="18" customHeight="1">
      <c r="B22" s="119" t="s">
        <v>658</v>
      </c>
      <c r="C22" s="41">
        <f>SUM(C14:C21)</f>
        <v>0</v>
      </c>
      <c r="D22" s="41">
        <f>SUM(D14:D21)</f>
        <v>0</v>
      </c>
      <c r="E22" s="41">
        <f>SUM(E14:E21)</f>
        <v>0</v>
      </c>
    </row>
    <row r="24" spans="2:9" ht="21.75" customHeight="1">
      <c r="B24" s="141" t="s">
        <v>164</v>
      </c>
      <c r="C24" s="141"/>
      <c r="D24" s="141"/>
      <c r="E24" s="141"/>
    </row>
    <row r="25" spans="2:9" ht="18" customHeight="1">
      <c r="B25" s="119" t="s">
        <v>659</v>
      </c>
      <c r="C25" s="41">
        <f>C11-C22</f>
        <v>0</v>
      </c>
      <c r="D25" s="41">
        <f>D11-D22</f>
        <v>0</v>
      </c>
      <c r="E25" s="41">
        <f>E11-E22</f>
        <v>0</v>
      </c>
    </row>
    <row r="28" spans="2:9" ht="18" customHeight="1">
      <c r="B28" s="130" t="s">
        <v>660</v>
      </c>
      <c r="C28" s="130"/>
      <c r="D28" s="130"/>
      <c r="E28" s="130"/>
      <c r="F28" s="130"/>
      <c r="G28" s="130"/>
      <c r="H28" s="130"/>
      <c r="I28" s="130"/>
    </row>
    <row r="29" spans="2:9" ht="36" customHeight="1">
      <c r="B29" s="131" t="s">
        <v>661</v>
      </c>
      <c r="C29" s="131"/>
      <c r="D29" s="122"/>
      <c r="E29" s="122"/>
      <c r="F29" s="122"/>
      <c r="G29" s="122"/>
      <c r="H29" s="122"/>
      <c r="I29" s="122"/>
    </row>
    <row r="30" spans="2:9" ht="18" customHeight="1">
      <c r="B30" s="123" t="s">
        <v>168</v>
      </c>
      <c r="C30" s="123"/>
      <c r="D30" s="124" t="s">
        <v>662</v>
      </c>
      <c r="E30" s="124"/>
      <c r="F30" s="124"/>
      <c r="G30" s="124"/>
      <c r="H30" s="124"/>
      <c r="I30" s="124"/>
    </row>
    <row r="31" spans="2:9" ht="18" customHeight="1">
      <c r="B31" s="151" t="s">
        <v>663</v>
      </c>
      <c r="C31" s="151"/>
      <c r="D31" s="122" t="s">
        <v>664</v>
      </c>
      <c r="E31" s="122"/>
      <c r="F31" s="122"/>
      <c r="G31" s="122"/>
      <c r="H31" s="122"/>
      <c r="I31" s="122"/>
    </row>
    <row r="32" spans="2:9" ht="18" customHeight="1">
      <c r="B32" s="125" t="s">
        <v>665</v>
      </c>
      <c r="C32" s="125"/>
      <c r="D32" s="124" t="s">
        <v>666</v>
      </c>
      <c r="E32" s="124"/>
      <c r="F32" s="124"/>
      <c r="G32" s="124"/>
      <c r="H32" s="124"/>
      <c r="I32" s="124"/>
    </row>
    <row r="33" spans="2:9" ht="18" customHeight="1">
      <c r="B33" s="151" t="s">
        <v>667</v>
      </c>
      <c r="C33" s="151"/>
      <c r="D33" s="122" t="s">
        <v>668</v>
      </c>
      <c r="E33" s="122"/>
      <c r="F33" s="122"/>
      <c r="G33" s="122"/>
      <c r="H33" s="122"/>
      <c r="I33" s="122"/>
    </row>
    <row r="34" spans="2:9" ht="18" customHeight="1">
      <c r="B34" s="123" t="s">
        <v>107</v>
      </c>
      <c r="C34" s="123"/>
      <c r="D34" s="124" t="s">
        <v>669</v>
      </c>
      <c r="E34" s="124"/>
      <c r="F34" s="124"/>
      <c r="G34" s="124"/>
      <c r="H34" s="124"/>
      <c r="I34" s="124"/>
    </row>
    <row r="36" spans="2:9" ht="1.5" customHeight="1">
      <c r="B36" s="23"/>
      <c r="C36" s="23"/>
      <c r="D36" s="23"/>
      <c r="E36" s="23"/>
    </row>
    <row r="37" spans="2:9" ht="18" customHeight="1">
      <c r="B37" s="120" t="str">
        <f>"Prepared by Baobab Consulting  ·  Commercial in Confidence — "&amp;FamilyName&amp;" Group  ·  FY "&amp;FYYear</f>
        <v>Prepared by Baobab Consulting  ·  Commercial in Confidence — Le Group  ·  FY 2025-26</v>
      </c>
      <c r="C37" s="120"/>
      <c r="D37" s="120"/>
      <c r="E37" s="120"/>
    </row>
  </sheetData>
  <sheetProtection password="CBB8" sheet="1" objects="1" scenarios="1" formatCells="0" formatColumns="0" formatRows="0" insertColumns="0" insertRows="0" deleteColumns="0" deleteRows="0" sort="0" autoFilter="0"/>
  <mergeCells count="20">
    <mergeCell ref="C1:H1"/>
    <mergeCell ref="C2:H2"/>
    <mergeCell ref="B3:H3"/>
    <mergeCell ref="B5:E5"/>
    <mergeCell ref="B13:E13"/>
    <mergeCell ref="B24:E24"/>
    <mergeCell ref="B28:I28"/>
    <mergeCell ref="B29:C29"/>
    <mergeCell ref="D29:I29"/>
    <mergeCell ref="B30:C30"/>
    <mergeCell ref="D30:I30"/>
    <mergeCell ref="B34:C34"/>
    <mergeCell ref="D34:I34"/>
    <mergeCell ref="B37:E37"/>
    <mergeCell ref="B31:C31"/>
    <mergeCell ref="D31:I31"/>
    <mergeCell ref="B32:C32"/>
    <mergeCell ref="D32:I32"/>
    <mergeCell ref="B33:C33"/>
    <mergeCell ref="D33:I33"/>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56"/>
  <sheetViews>
    <sheetView showGridLines="0" zoomScaleNormal="100" workbookViewId="0">
      <pane xSplit="1" ySplit="4" topLeftCell="B48" activePane="bottomRight" state="frozen"/>
      <selection pane="bottomRight" activeCell="L13" sqref="L13"/>
      <selection pane="bottomLeft" activeCell="A5" sqref="A5"/>
      <selection pane="topRight" activeCell="B1" sqref="B1"/>
    </sheetView>
  </sheetViews>
  <sheetFormatPr defaultColWidth="8.7109375" defaultRowHeight="15"/>
  <cols>
    <col min="1" max="1" width="2" style="1" customWidth="1"/>
    <col min="2" max="2" width="33.140625" style="1" customWidth="1"/>
    <col min="3" max="3" width="30" style="1" customWidth="1"/>
    <col min="4" max="4" width="31.28515625" style="1" customWidth="1"/>
    <col min="5" max="7" width="16" style="1" customWidth="1"/>
    <col min="8" max="8" width="22" style="1" customWidth="1"/>
  </cols>
  <sheetData>
    <row r="1" spans="1:15" ht="90" customHeight="1">
      <c r="A1" s="8"/>
      <c r="B1" s="8"/>
      <c r="C1" s="132" t="str">
        <f>FamilyName&amp;" Group — Statement of Assets &amp; Liabilities"</f>
        <v>Le Group — Statement of Assets &amp; Liabilities</v>
      </c>
      <c r="D1" s="132"/>
      <c r="E1" s="132"/>
      <c r="F1" s="132"/>
      <c r="G1" s="132"/>
      <c r="H1" s="132"/>
      <c r="I1" s="132"/>
      <c r="J1" s="132"/>
      <c r="K1" s="132"/>
      <c r="L1" s="8"/>
      <c r="M1" s="8"/>
      <c r="N1" s="8"/>
      <c r="O1" s="9"/>
    </row>
    <row r="2" spans="1:15" ht="18" customHeight="1">
      <c r="A2" s="10"/>
      <c r="B2" s="10"/>
      <c r="C2" s="133" t="str">
        <f>"FY "&amp;FYYear&amp;"  ·  Baobab Consulting  ·  Confidential"</f>
        <v>FY 2025-26  ·  Baobab Consulting  ·  Confidential</v>
      </c>
      <c r="D2" s="133"/>
      <c r="E2" s="133"/>
      <c r="F2" s="133"/>
      <c r="G2" s="133"/>
      <c r="H2" s="133"/>
      <c r="I2" s="133"/>
      <c r="J2" s="133"/>
      <c r="K2" s="133"/>
      <c r="L2" s="10"/>
      <c r="M2" s="10"/>
      <c r="N2" s="10"/>
      <c r="O2" s="9"/>
    </row>
    <row r="3" spans="1:15" ht="13.5" customHeight="1">
      <c r="A3" s="11"/>
      <c r="B3" s="134" t="s">
        <v>1</v>
      </c>
      <c r="C3" s="134"/>
      <c r="D3" s="134"/>
      <c r="E3" s="134"/>
      <c r="F3" s="134"/>
      <c r="G3" s="134"/>
      <c r="H3" s="134"/>
      <c r="I3" s="134"/>
      <c r="J3" s="134"/>
      <c r="K3" s="134"/>
      <c r="L3" s="11"/>
      <c r="M3" s="11"/>
      <c r="N3" s="11"/>
      <c r="O3" s="9"/>
    </row>
    <row r="4" spans="1:15" ht="30" customHeight="1">
      <c r="B4" s="45" t="s">
        <v>129</v>
      </c>
      <c r="C4" s="45" t="s">
        <v>209</v>
      </c>
      <c r="D4" s="45" t="s">
        <v>670</v>
      </c>
      <c r="E4" s="45" t="s">
        <v>671</v>
      </c>
      <c r="F4" s="45" t="s">
        <v>672</v>
      </c>
      <c r="G4" s="45" t="s">
        <v>673</v>
      </c>
      <c r="H4" s="45" t="s">
        <v>674</v>
      </c>
    </row>
    <row r="5" spans="1:15" ht="18" customHeight="1">
      <c r="B5" s="156" t="s">
        <v>675</v>
      </c>
      <c r="C5" s="156"/>
      <c r="D5" s="156"/>
      <c r="E5" s="97">
        <f>E9+E15+E20+E24+E29+E33+E37+E41</f>
        <v>0</v>
      </c>
      <c r="F5" s="97">
        <f>F9+F15+F20+F24+F29+F33+F37+F41</f>
        <v>0</v>
      </c>
      <c r="G5" s="98">
        <f>E5-F5</f>
        <v>0</v>
      </c>
    </row>
    <row r="6" spans="1:15" ht="21.75" customHeight="1">
      <c r="B6" s="128" t="s">
        <v>676</v>
      </c>
      <c r="C6" s="128"/>
      <c r="D6" s="128"/>
      <c r="E6" s="128"/>
      <c r="F6" s="128"/>
      <c r="G6" s="128"/>
      <c r="H6" s="128"/>
    </row>
    <row r="7" spans="1:15" ht="18" customHeight="1">
      <c r="B7" s="99" t="s">
        <v>677</v>
      </c>
      <c r="C7" s="100" t="s">
        <v>678</v>
      </c>
      <c r="D7" s="101" t="s">
        <v>679</v>
      </c>
      <c r="E7" s="42">
        <v>0</v>
      </c>
      <c r="F7" s="42">
        <v>0</v>
      </c>
      <c r="G7" s="87">
        <f>E7-F7</f>
        <v>0</v>
      </c>
      <c r="H7" s="13" t="s">
        <v>680</v>
      </c>
    </row>
    <row r="8" spans="1:15" ht="18" customHeight="1">
      <c r="B8" s="102" t="s">
        <v>677</v>
      </c>
      <c r="C8" s="103" t="s">
        <v>681</v>
      </c>
      <c r="D8" s="13"/>
      <c r="E8" s="42">
        <v>0</v>
      </c>
      <c r="F8" s="42">
        <v>0</v>
      </c>
      <c r="G8" s="84">
        <f>E8-F8</f>
        <v>0</v>
      </c>
      <c r="H8" s="13" t="s">
        <v>680</v>
      </c>
    </row>
    <row r="9" spans="1:15" ht="18" customHeight="1">
      <c r="B9" s="156" t="s">
        <v>682</v>
      </c>
      <c r="C9" s="156"/>
      <c r="D9" s="156"/>
      <c r="E9" s="41">
        <f>SUM(E7:E8)</f>
        <v>0</v>
      </c>
      <c r="F9" s="41">
        <f>SUM(F7:F8)</f>
        <v>0</v>
      </c>
      <c r="G9" s="41">
        <f>E9-F9</f>
        <v>0</v>
      </c>
    </row>
    <row r="10" spans="1:15" ht="21.75" customHeight="1">
      <c r="B10" s="128" t="s">
        <v>683</v>
      </c>
      <c r="C10" s="128"/>
      <c r="D10" s="128"/>
      <c r="E10" s="128"/>
      <c r="F10" s="128"/>
      <c r="G10" s="128"/>
      <c r="H10" s="128"/>
    </row>
    <row r="11" spans="1:15" ht="18" customHeight="1">
      <c r="B11" s="99" t="s">
        <v>677</v>
      </c>
      <c r="C11" s="100" t="s">
        <v>684</v>
      </c>
      <c r="D11" s="101" t="s">
        <v>685</v>
      </c>
      <c r="E11" s="42">
        <v>0</v>
      </c>
      <c r="F11" s="42">
        <v>0</v>
      </c>
      <c r="G11" s="87">
        <f>E11-F11</f>
        <v>0</v>
      </c>
      <c r="H11" s="13" t="s">
        <v>680</v>
      </c>
    </row>
    <row r="12" spans="1:15" ht="18" customHeight="1">
      <c r="B12" s="102" t="s">
        <v>677</v>
      </c>
      <c r="C12" s="103" t="s">
        <v>686</v>
      </c>
      <c r="D12" s="101" t="s">
        <v>685</v>
      </c>
      <c r="E12" s="42">
        <v>0</v>
      </c>
      <c r="F12" s="42">
        <v>0</v>
      </c>
      <c r="G12" s="84">
        <f>E12-F12</f>
        <v>0</v>
      </c>
      <c r="H12" s="13" t="s">
        <v>680</v>
      </c>
    </row>
    <row r="13" spans="1:15" ht="18" customHeight="1">
      <c r="B13" s="99" t="s">
        <v>677</v>
      </c>
      <c r="C13" s="100" t="s">
        <v>687</v>
      </c>
      <c r="D13" s="101" t="s">
        <v>685</v>
      </c>
      <c r="E13" s="42">
        <v>0</v>
      </c>
      <c r="F13" s="42">
        <v>0</v>
      </c>
      <c r="G13" s="87">
        <f>E13-F13</f>
        <v>0</v>
      </c>
      <c r="H13" s="100" t="str">
        <f>Person1</f>
        <v>Lina</v>
      </c>
    </row>
    <row r="14" spans="1:15" ht="18" customHeight="1">
      <c r="B14" s="102" t="s">
        <v>677</v>
      </c>
      <c r="C14" s="103" t="s">
        <v>688</v>
      </c>
      <c r="D14" s="101" t="s">
        <v>685</v>
      </c>
      <c r="E14" s="42">
        <v>0</v>
      </c>
      <c r="F14" s="42">
        <v>0</v>
      </c>
      <c r="G14" s="84">
        <f>E14-F14</f>
        <v>0</v>
      </c>
      <c r="H14" s="103" t="str">
        <f>Person2</f>
        <v>TBC</v>
      </c>
    </row>
    <row r="15" spans="1:15" ht="18" customHeight="1">
      <c r="B15" s="156" t="s">
        <v>682</v>
      </c>
      <c r="C15" s="156"/>
      <c r="D15" s="156"/>
      <c r="E15" s="41">
        <f>SUM(E11:E14)</f>
        <v>0</v>
      </c>
      <c r="F15" s="41">
        <f>SUM(F11:F14)</f>
        <v>0</v>
      </c>
      <c r="G15" s="41">
        <f>E15-F15</f>
        <v>0</v>
      </c>
    </row>
    <row r="16" spans="1:15" ht="21.75" customHeight="1">
      <c r="B16" s="128" t="s">
        <v>689</v>
      </c>
      <c r="C16" s="128"/>
      <c r="D16" s="128"/>
      <c r="E16" s="128"/>
      <c r="F16" s="128"/>
      <c r="G16" s="128"/>
      <c r="H16" s="128"/>
    </row>
    <row r="17" spans="2:8" ht="18" customHeight="1">
      <c r="B17" s="99" t="s">
        <v>689</v>
      </c>
      <c r="C17" s="100" t="s">
        <v>690</v>
      </c>
      <c r="D17" s="13"/>
      <c r="E17" s="42">
        <v>0</v>
      </c>
      <c r="F17" s="42">
        <v>0</v>
      </c>
      <c r="G17" s="87">
        <f>E17-F17</f>
        <v>0</v>
      </c>
      <c r="H17" s="13" t="s">
        <v>680</v>
      </c>
    </row>
    <row r="18" spans="2:8" ht="18" customHeight="1">
      <c r="B18" s="102" t="s">
        <v>689</v>
      </c>
      <c r="C18" s="103" t="s">
        <v>691</v>
      </c>
      <c r="D18" s="13"/>
      <c r="E18" s="42">
        <v>0</v>
      </c>
      <c r="F18" s="42">
        <v>0</v>
      </c>
      <c r="G18" s="84">
        <f>E18-F18</f>
        <v>0</v>
      </c>
      <c r="H18" s="13" t="s">
        <v>680</v>
      </c>
    </row>
    <row r="19" spans="2:8" ht="18" customHeight="1">
      <c r="B19" s="99" t="s">
        <v>689</v>
      </c>
      <c r="C19" s="100" t="s">
        <v>692</v>
      </c>
      <c r="D19" s="13"/>
      <c r="E19" s="42">
        <v>0</v>
      </c>
      <c r="F19" s="42">
        <v>0</v>
      </c>
      <c r="G19" s="87">
        <f>E19-F19</f>
        <v>0</v>
      </c>
      <c r="H19" s="13"/>
    </row>
    <row r="20" spans="2:8" ht="18" customHeight="1">
      <c r="B20" s="156" t="s">
        <v>682</v>
      </c>
      <c r="C20" s="156"/>
      <c r="D20" s="156"/>
      <c r="E20" s="41">
        <f>SUM(E17:E19)</f>
        <v>0</v>
      </c>
      <c r="F20" s="41">
        <f>SUM(F17:F19)</f>
        <v>0</v>
      </c>
      <c r="G20" s="41">
        <f>E20-F20</f>
        <v>0</v>
      </c>
    </row>
    <row r="21" spans="2:8" ht="21.75" customHeight="1">
      <c r="B21" s="128" t="s">
        <v>693</v>
      </c>
      <c r="C21" s="128"/>
      <c r="D21" s="128"/>
      <c r="E21" s="128"/>
      <c r="F21" s="128"/>
      <c r="G21" s="128"/>
      <c r="H21" s="128"/>
    </row>
    <row r="22" spans="2:8" ht="18" customHeight="1">
      <c r="B22" s="102" t="s">
        <v>693</v>
      </c>
      <c r="C22" s="103" t="str">
        <f>Person1&amp;"'s Super"</f>
        <v>Lina's Super</v>
      </c>
      <c r="D22" s="104" t="s">
        <v>694</v>
      </c>
      <c r="E22" s="55">
        <f>'🎯 Goals &amp; Super'!C23</f>
        <v>0</v>
      </c>
      <c r="F22" s="42">
        <v>0</v>
      </c>
      <c r="G22" s="84">
        <f>E22-F22</f>
        <v>0</v>
      </c>
      <c r="H22" s="103" t="str">
        <f>Person1</f>
        <v>Lina</v>
      </c>
    </row>
    <row r="23" spans="2:8" ht="18" customHeight="1">
      <c r="B23" s="99" t="s">
        <v>693</v>
      </c>
      <c r="C23" s="100" t="str">
        <f>Person2&amp;"'s Super"</f>
        <v>TBC's Super</v>
      </c>
      <c r="D23" s="104" t="s">
        <v>694</v>
      </c>
      <c r="E23" s="55">
        <f>'🎯 Goals &amp; Super'!D23</f>
        <v>0</v>
      </c>
      <c r="F23" s="42">
        <v>0</v>
      </c>
      <c r="G23" s="87">
        <f>E23-F23</f>
        <v>0</v>
      </c>
      <c r="H23" s="100" t="str">
        <f>Person2</f>
        <v>TBC</v>
      </c>
    </row>
    <row r="24" spans="2:8" ht="18" customHeight="1">
      <c r="B24" s="156" t="s">
        <v>682</v>
      </c>
      <c r="C24" s="156"/>
      <c r="D24" s="156"/>
      <c r="E24" s="41">
        <f>SUM(E22:E23)</f>
        <v>0</v>
      </c>
      <c r="F24" s="41">
        <f>SUM(F22:F23)</f>
        <v>0</v>
      </c>
      <c r="G24" s="41">
        <f>E24-F24</f>
        <v>0</v>
      </c>
    </row>
    <row r="25" spans="2:8" ht="21.75" customHeight="1">
      <c r="B25" s="128" t="s">
        <v>695</v>
      </c>
      <c r="C25" s="128"/>
      <c r="D25" s="128"/>
      <c r="E25" s="128"/>
      <c r="F25" s="128"/>
      <c r="G25" s="128"/>
      <c r="H25" s="128"/>
    </row>
    <row r="26" spans="2:8" ht="18" customHeight="1">
      <c r="B26" s="102" t="s">
        <v>695</v>
      </c>
      <c r="C26" s="103" t="s">
        <v>696</v>
      </c>
      <c r="D26" s="13"/>
      <c r="E26" s="42">
        <v>0</v>
      </c>
      <c r="F26" s="42">
        <v>0</v>
      </c>
      <c r="G26" s="84">
        <f>E26-F26</f>
        <v>0</v>
      </c>
      <c r="H26" s="13" t="s">
        <v>680</v>
      </c>
    </row>
    <row r="27" spans="2:8" ht="18" customHeight="1">
      <c r="B27" s="99" t="s">
        <v>695</v>
      </c>
      <c r="C27" s="100" t="s">
        <v>697</v>
      </c>
      <c r="D27" s="13"/>
      <c r="E27" s="42">
        <v>0</v>
      </c>
      <c r="F27" s="42">
        <v>0</v>
      </c>
      <c r="G27" s="87">
        <f>E27-F27</f>
        <v>0</v>
      </c>
      <c r="H27" s="13"/>
    </row>
    <row r="28" spans="2:8" ht="18" customHeight="1">
      <c r="B28" s="102" t="s">
        <v>695</v>
      </c>
      <c r="C28" s="103" t="s">
        <v>698</v>
      </c>
      <c r="D28" s="13"/>
      <c r="E28" s="42">
        <v>0</v>
      </c>
      <c r="F28" s="42">
        <v>0</v>
      </c>
      <c r="G28" s="84">
        <f>E28-F28</f>
        <v>0</v>
      </c>
      <c r="H28" s="13"/>
    </row>
    <row r="29" spans="2:8" ht="18" customHeight="1">
      <c r="B29" s="156" t="s">
        <v>682</v>
      </c>
      <c r="C29" s="156"/>
      <c r="D29" s="156"/>
      <c r="E29" s="41">
        <f>SUM(E26:E28)</f>
        <v>0</v>
      </c>
      <c r="F29" s="41">
        <f>SUM(F26:F28)</f>
        <v>0</v>
      </c>
      <c r="G29" s="41">
        <f>E29-F29</f>
        <v>0</v>
      </c>
    </row>
    <row r="30" spans="2:8" ht="21.75" customHeight="1">
      <c r="B30" s="128" t="s">
        <v>699</v>
      </c>
      <c r="C30" s="128"/>
      <c r="D30" s="128"/>
      <c r="E30" s="128"/>
      <c r="F30" s="128"/>
      <c r="G30" s="128"/>
      <c r="H30" s="128"/>
    </row>
    <row r="31" spans="2:8" ht="18" customHeight="1">
      <c r="B31" s="99" t="s">
        <v>699</v>
      </c>
      <c r="C31" s="100" t="str">
        <f>TrustName</f>
        <v>Le Family Trust</v>
      </c>
      <c r="D31" s="13" t="s">
        <v>700</v>
      </c>
      <c r="E31" s="42">
        <v>0</v>
      </c>
      <c r="F31" s="42">
        <v>0</v>
      </c>
      <c r="G31" s="87">
        <f>E31-F31</f>
        <v>0</v>
      </c>
      <c r="H31" s="13" t="s">
        <v>701</v>
      </c>
    </row>
    <row r="32" spans="2:8" ht="18" customHeight="1">
      <c r="B32" s="102" t="s">
        <v>699</v>
      </c>
      <c r="C32" s="103" t="s">
        <v>702</v>
      </c>
      <c r="D32" s="13"/>
      <c r="E32" s="42">
        <v>0</v>
      </c>
      <c r="F32" s="42">
        <v>0</v>
      </c>
      <c r="G32" s="84">
        <f>E32-F32</f>
        <v>0</v>
      </c>
      <c r="H32" s="13"/>
    </row>
    <row r="33" spans="2:9" ht="18" customHeight="1">
      <c r="B33" s="156" t="s">
        <v>682</v>
      </c>
      <c r="C33" s="156"/>
      <c r="D33" s="156"/>
      <c r="E33" s="41">
        <f>SUM(E31:E32)</f>
        <v>0</v>
      </c>
      <c r="F33" s="41">
        <f>SUM(F31:F32)</f>
        <v>0</v>
      </c>
      <c r="G33" s="41">
        <f>E33-F33</f>
        <v>0</v>
      </c>
    </row>
    <row r="34" spans="2:9" ht="21.75" customHeight="1">
      <c r="B34" s="128" t="s">
        <v>703</v>
      </c>
      <c r="C34" s="128"/>
      <c r="D34" s="128"/>
      <c r="E34" s="128"/>
      <c r="F34" s="128"/>
      <c r="G34" s="128"/>
      <c r="H34" s="128"/>
    </row>
    <row r="35" spans="2:9" ht="18" customHeight="1">
      <c r="B35" s="99" t="s">
        <v>703</v>
      </c>
      <c r="C35" s="100" t="s">
        <v>704</v>
      </c>
      <c r="D35" s="13"/>
      <c r="E35" s="42">
        <v>0</v>
      </c>
      <c r="F35" s="42">
        <v>0</v>
      </c>
      <c r="G35" s="87">
        <f>E35-F35</f>
        <v>0</v>
      </c>
      <c r="H35" s="13" t="s">
        <v>680</v>
      </c>
    </row>
    <row r="36" spans="2:9" ht="18" customHeight="1">
      <c r="B36" s="102" t="s">
        <v>703</v>
      </c>
      <c r="C36" s="103" t="s">
        <v>705</v>
      </c>
      <c r="D36" s="13"/>
      <c r="E36" s="42">
        <v>0</v>
      </c>
      <c r="F36" s="42">
        <v>0</v>
      </c>
      <c r="G36" s="84">
        <f>E36-F36</f>
        <v>0</v>
      </c>
      <c r="H36" s="13"/>
    </row>
    <row r="37" spans="2:9" ht="18" customHeight="1">
      <c r="B37" s="156" t="s">
        <v>682</v>
      </c>
      <c r="C37" s="156"/>
      <c r="D37" s="156"/>
      <c r="E37" s="41">
        <f>SUM(E35:E36)</f>
        <v>0</v>
      </c>
      <c r="F37" s="41">
        <f>SUM(F35:F36)</f>
        <v>0</v>
      </c>
      <c r="G37" s="41">
        <f>E37-F37</f>
        <v>0</v>
      </c>
    </row>
    <row r="38" spans="2:9" ht="21.75" customHeight="1">
      <c r="B38" s="128" t="s">
        <v>706</v>
      </c>
      <c r="C38" s="128"/>
      <c r="D38" s="128"/>
      <c r="E38" s="128"/>
      <c r="F38" s="128"/>
      <c r="G38" s="128"/>
      <c r="H38" s="128"/>
    </row>
    <row r="39" spans="2:9" ht="18" customHeight="1">
      <c r="B39" s="99" t="s">
        <v>706</v>
      </c>
      <c r="C39" s="100" t="s">
        <v>707</v>
      </c>
      <c r="D39" s="13"/>
      <c r="E39" s="42">
        <v>0</v>
      </c>
      <c r="F39" s="42">
        <v>0</v>
      </c>
      <c r="G39" s="87">
        <f>E39-F39</f>
        <v>0</v>
      </c>
      <c r="H39" s="13" t="s">
        <v>680</v>
      </c>
    </row>
    <row r="40" spans="2:9" ht="18" customHeight="1">
      <c r="B40" s="102" t="s">
        <v>706</v>
      </c>
      <c r="C40" s="103" t="s">
        <v>708</v>
      </c>
      <c r="D40" s="13"/>
      <c r="E40" s="42">
        <v>0</v>
      </c>
      <c r="F40" s="42">
        <v>0</v>
      </c>
      <c r="G40" s="84">
        <f>E40-F40</f>
        <v>0</v>
      </c>
      <c r="H40" s="13"/>
    </row>
    <row r="41" spans="2:9" ht="18" customHeight="1">
      <c r="B41" s="156" t="s">
        <v>682</v>
      </c>
      <c r="C41" s="156"/>
      <c r="D41" s="156"/>
      <c r="E41" s="41">
        <f>SUM(E39:E40)</f>
        <v>0</v>
      </c>
      <c r="F41" s="41">
        <f>SUM(F39:F40)</f>
        <v>0</v>
      </c>
      <c r="G41" s="41">
        <f>E41-F41</f>
        <v>0</v>
      </c>
    </row>
    <row r="44" spans="2:9" ht="18" customHeight="1">
      <c r="B44" s="130" t="s">
        <v>709</v>
      </c>
      <c r="C44" s="130"/>
      <c r="D44" s="130"/>
      <c r="E44" s="130"/>
      <c r="F44" s="130"/>
      <c r="G44" s="130"/>
      <c r="H44" s="130"/>
      <c r="I44" s="130"/>
    </row>
    <row r="45" spans="2:9" ht="36" customHeight="1">
      <c r="B45" s="131" t="s">
        <v>710</v>
      </c>
      <c r="C45" s="131"/>
      <c r="D45" s="122"/>
      <c r="E45" s="122"/>
      <c r="F45" s="122"/>
      <c r="G45" s="122"/>
      <c r="H45" s="122"/>
      <c r="I45" s="122"/>
    </row>
    <row r="46" spans="2:9" ht="18" customHeight="1">
      <c r="B46" s="123" t="s">
        <v>711</v>
      </c>
      <c r="C46" s="123"/>
      <c r="D46" s="124" t="s">
        <v>712</v>
      </c>
      <c r="E46" s="124"/>
      <c r="F46" s="124"/>
      <c r="G46" s="124"/>
      <c r="H46" s="124"/>
      <c r="I46" s="124"/>
    </row>
    <row r="47" spans="2:9" ht="18" customHeight="1">
      <c r="B47" s="151" t="s">
        <v>713</v>
      </c>
      <c r="C47" s="151"/>
      <c r="D47" s="122" t="s">
        <v>714</v>
      </c>
      <c r="E47" s="122"/>
      <c r="F47" s="122"/>
      <c r="G47" s="122"/>
      <c r="H47" s="122"/>
      <c r="I47" s="122"/>
    </row>
    <row r="48" spans="2:9" ht="18" customHeight="1">
      <c r="B48" s="123" t="s">
        <v>715</v>
      </c>
      <c r="C48" s="123"/>
      <c r="D48" s="124" t="s">
        <v>716</v>
      </c>
      <c r="E48" s="124"/>
      <c r="F48" s="124"/>
      <c r="G48" s="124"/>
      <c r="H48" s="124"/>
      <c r="I48" s="124"/>
    </row>
    <row r="49" spans="2:9" ht="18" customHeight="1">
      <c r="B49" s="121" t="s">
        <v>717</v>
      </c>
      <c r="C49" s="121"/>
      <c r="D49" s="122" t="s">
        <v>718</v>
      </c>
      <c r="E49" s="122"/>
      <c r="F49" s="122"/>
      <c r="G49" s="122"/>
      <c r="H49" s="122"/>
      <c r="I49" s="122"/>
    </row>
    <row r="50" spans="2:9" ht="18" customHeight="1">
      <c r="B50" s="123" t="s">
        <v>719</v>
      </c>
      <c r="C50" s="123"/>
      <c r="D50" s="126" t="str">
        <f>"Note who owns it: "&amp;Person1&amp;", "&amp;Person2&amp;", Joint, "&amp;TrustName&amp;", SMSF"</f>
        <v>Note who owns it: Lina, TBC, Joint, Le Family Trust, SMSF</v>
      </c>
      <c r="E50" s="126"/>
      <c r="F50" s="126"/>
      <c r="G50" s="126"/>
      <c r="H50" s="126"/>
      <c r="I50" s="126"/>
    </row>
    <row r="51" spans="2:9" ht="18" customHeight="1">
      <c r="B51" s="121" t="s">
        <v>720</v>
      </c>
      <c r="C51" s="121"/>
      <c r="D51" s="155" t="str">
        <f>"Include super here — it’s the "&amp;FamilyName&amp;" family’s largest asset class over time"</f>
        <v>Include super here — it’s the Le family’s largest asset class over time</v>
      </c>
      <c r="E51" s="155"/>
      <c r="F51" s="155"/>
      <c r="G51" s="155"/>
      <c r="H51" s="155"/>
      <c r="I51" s="155"/>
    </row>
    <row r="52" spans="2:9" ht="18" customHeight="1">
      <c r="B52" s="123" t="s">
        <v>721</v>
      </c>
      <c r="C52" s="123"/>
      <c r="D52" s="124" t="s">
        <v>722</v>
      </c>
      <c r="E52" s="124"/>
      <c r="F52" s="124"/>
      <c r="G52" s="124"/>
      <c r="H52" s="124"/>
      <c r="I52" s="124"/>
    </row>
    <row r="53" spans="2:9" ht="18" customHeight="1">
      <c r="B53" s="121" t="s">
        <v>107</v>
      </c>
      <c r="C53" s="121"/>
      <c r="D53" s="122" t="s">
        <v>723</v>
      </c>
      <c r="E53" s="122"/>
      <c r="F53" s="122"/>
      <c r="G53" s="122"/>
      <c r="H53" s="122"/>
      <c r="I53" s="122"/>
    </row>
    <row r="55" spans="2:9" ht="1.5" customHeight="1">
      <c r="B55" s="23"/>
      <c r="C55" s="23"/>
      <c r="D55" s="23"/>
      <c r="E55" s="23"/>
      <c r="F55" s="23"/>
      <c r="G55" s="23"/>
      <c r="H55" s="23"/>
    </row>
    <row r="56" spans="2:9" ht="18" customHeight="1">
      <c r="B56" s="120" t="str">
        <f>"Prepared by Baobab Consulting  ·  Commercial in Confidence — "&amp;FamilyName&amp;" Group  ·  FY "&amp;FYYear</f>
        <v>Prepared by Baobab Consulting  ·  Commercial in Confidence — Le Group  ·  FY 2025-26</v>
      </c>
      <c r="C56" s="120"/>
      <c r="D56" s="120"/>
      <c r="E56" s="120"/>
      <c r="F56" s="120"/>
      <c r="G56" s="120"/>
      <c r="H56" s="120"/>
    </row>
  </sheetData>
  <sheetProtection algorithmName="SHA-512" hashValue="42H9c7a6vR3IwCtkg1GJ0arZ0gU/rLWAlnYwPF3NhDCIBXZBGZqT8xDnNTuHx+l3ReU6BpLyC3BrEynBRpa0eA==" saltValue="lRcZvKo35prtU+DmU2xBQA==" spinCount="100000" sheet="1" objects="1" scenarios="1" formatCells="0" formatColumns="0" formatRows="0" insertColumns="0" insertRows="0" deleteColumns="0" deleteRows="0" sort="0" autoFilter="0"/>
  <mergeCells count="40">
    <mergeCell ref="C1:K1"/>
    <mergeCell ref="C2:K2"/>
    <mergeCell ref="B3:K3"/>
    <mergeCell ref="B5:D5"/>
    <mergeCell ref="B6:H6"/>
    <mergeCell ref="B9:D9"/>
    <mergeCell ref="B10:H10"/>
    <mergeCell ref="B15:D15"/>
    <mergeCell ref="B16:H16"/>
    <mergeCell ref="B20:D20"/>
    <mergeCell ref="B21:H21"/>
    <mergeCell ref="B24:D24"/>
    <mergeCell ref="B25:H25"/>
    <mergeCell ref="B29:D29"/>
    <mergeCell ref="B30:H30"/>
    <mergeCell ref="B33:D33"/>
    <mergeCell ref="B34:H34"/>
    <mergeCell ref="B37:D37"/>
    <mergeCell ref="B38:H38"/>
    <mergeCell ref="B41:D41"/>
    <mergeCell ref="B44:I44"/>
    <mergeCell ref="B45:C45"/>
    <mergeCell ref="D45:I45"/>
    <mergeCell ref="B46:C46"/>
    <mergeCell ref="D46:I46"/>
    <mergeCell ref="B47:C47"/>
    <mergeCell ref="D47:I47"/>
    <mergeCell ref="B48:C48"/>
    <mergeCell ref="D48:I48"/>
    <mergeCell ref="B49:C49"/>
    <mergeCell ref="D49:I49"/>
    <mergeCell ref="B53:C53"/>
    <mergeCell ref="D53:I53"/>
    <mergeCell ref="B56:H56"/>
    <mergeCell ref="B50:C50"/>
    <mergeCell ref="D50:I50"/>
    <mergeCell ref="B51:C51"/>
    <mergeCell ref="D51:I51"/>
    <mergeCell ref="B52:C52"/>
    <mergeCell ref="D52:I52"/>
  </mergeCells>
  <pageMargins left="0.75" right="0.75" top="1" bottom="1" header="0.51180555555555596" footer="0.51180555555555596"/>
  <pageSetup paperSize="9" orientation="portrait" horizontalDpi="300" verticalDpi="300"/>
  <headerFooter>
    <oddHeader>&amp;L&amp;"Calibri,Bold"&amp;9 Baobab Consulting  ·  CONFIDENTIAL&amp;R&amp;8 Page &amp;P of &amp;N  ·  FY &amp;D</oddHeader>
    <oddFooter>&amp;C&amp;"Calibri,Italic"&amp;7 © Baobab Group of Companies (Baobab CFO Pty Ltd Baobab Consulting). No unauthorised use or reproduction without prior written permission.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Household Budget &amp; Financial Planning Workbook</dc:title>
  <dc:subject>Financial Planning — Prepared by Baobab Consulting</dc:subject>
  <dc:creator>Baobab Consulting</dc:creator>
  <cp:keywords>Baobab Consulting Financial Planning Budget Tax Confidential</cp:keywords>
  <dc:description>© Baobab Group of Companies (Baobab CFO Pty Ltd &amp; Baobab Consulting). No unauthorised use or reproduction without prior written permission.</dc:description>
  <cp:lastModifiedBy/>
  <cp:revision>0</cp:revision>
  <dcterms:created xsi:type="dcterms:W3CDTF">2026-04-13T03:35:28Z</dcterms:created>
  <dcterms:modified xsi:type="dcterms:W3CDTF">2026-05-05T01:35:25Z</dcterms:modified>
  <cp:category>Financial Planning</cp:category>
  <cp:contentStatus/>
</cp:coreProperties>
</file>