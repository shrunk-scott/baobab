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Override PartName="/xl/worksheets/sheet11.xml" ContentType="application/vnd.openxmlformats-officedocument.spreadsheetml.worksheet+xml"/>
  <Override PartName="/xl/drawings/drawing11.xml" ContentType="application/vnd.openxmlformats-officedocument.drawing+xml"/>
  <Override PartName="/xl/worksheets/sheet12.xml" ContentType="application/vnd.openxmlformats-officedocument.spreadsheetml.worksheet+xml"/>
  <Override PartName="/xl/drawings/drawing12.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2" autoFilterDateGrouping="1"/>
  </bookViews>
  <sheets>
    <sheet xmlns:r="http://schemas.openxmlformats.org/officeDocument/2006/relationships" name="🔒 Terms of Use" sheetId="1" state="visible" r:id="rId1"/>
    <sheet xmlns:r="http://schemas.openxmlformats.org/officeDocument/2006/relationships" name="⚙ Assumptions" sheetId="2" state="visible" r:id="rId2"/>
    <sheet xmlns:r="http://schemas.openxmlformats.org/officeDocument/2006/relationships" name="📊 Dashboard" sheetId="3" state="visible" r:id="rId3"/>
    <sheet xmlns:r="http://schemas.openxmlformats.org/officeDocument/2006/relationships" name="💰 Income Planning" sheetId="4" state="visible" r:id="rId4"/>
    <sheet xmlns:r="http://schemas.openxmlformats.org/officeDocument/2006/relationships" name="🧮 Tax Estimator" sheetId="5" state="visible" r:id="rId5"/>
    <sheet xmlns:r="http://schemas.openxmlformats.org/officeDocument/2006/relationships" name="🏠 Household Expenditure" sheetId="6" state="visible" r:id="rId6"/>
    <sheet xmlns:r="http://schemas.openxmlformats.org/officeDocument/2006/relationships" name="📅 Monthly Cashflow" sheetId="7" state="visible" r:id="rId7"/>
    <sheet xmlns:r="http://schemas.openxmlformats.org/officeDocument/2006/relationships" name="🏦 Debt Schedule" sheetId="8" state="visible" r:id="rId8"/>
    <sheet xmlns:r="http://schemas.openxmlformats.org/officeDocument/2006/relationships" name="🏘 Rental Properties" sheetId="9" state="visible" r:id="rId9"/>
    <sheet xmlns:r="http://schemas.openxmlformats.org/officeDocument/2006/relationships" name="🎯 Goals &amp; Super" sheetId="10" state="visible" r:id="rId10"/>
    <sheet xmlns:r="http://schemas.openxmlformats.org/officeDocument/2006/relationships" name="📋 Summary" sheetId="11" state="visible" r:id="rId11"/>
    <sheet xmlns:r="http://schemas.openxmlformats.org/officeDocument/2006/relationships" name="📈 A+L" sheetId="12" state="visible" r:id="rId12"/>
  </sheets>
  <definedNames>
    <definedName name="CashflowLink" hidden="0" function="0" vbProcedure="0">'⚙ Assumptions'!$C$44</definedName>
    <definedName name="CGTDiscountEligible" hidden="0" function="0" vbProcedure="0">'⚙ Assumptions'!$C$48</definedName>
    <definedName name="CorpTaxRate" hidden="0" function="0" vbProcedure="0">'⚙ Assumptions'!$C$46</definedName>
    <definedName name="DrawdownRate" hidden="0" function="0" vbProcedure="0">'⚙ Assumptions'!$C$27</definedName>
    <definedName name="FamilyName" hidden="0" function="0" vbProcedure="0">'⚙ Assumptions'!$C$7</definedName>
    <definedName name="FrankingPct" hidden="0" function="0" vbProcedure="0">'⚙ Assumptions'!$C$45</definedName>
    <definedName name="FYYear" hidden="0" function="0" vbProcedure="0">'⚙ Assumptions'!$C$6</definedName>
    <definedName name="NegGearingEligible" hidden="0" function="0" vbProcedure="0">'⚙ Assumptions'!$C$47</definedName>
    <definedName name="NumDeps" hidden="0" function="0" vbProcedure="0">'⚙ Assumptions'!$C$10</definedName>
    <definedName name="Person1" hidden="0" function="0" vbProcedure="0">'⚙ Assumptions'!$C$8</definedName>
    <definedName name="Person2" hidden="0" function="0" vbProcedure="0">'⚙ Assumptions'!$C$9</definedName>
    <definedName name="SGCRate" hidden="0" function="0" vbProcedure="0">'⚙ Assumptions'!$C$23</definedName>
    <definedName name="SuperGrowthRate" hidden="0" function="0" vbProcedure="0">'⚙ Assumptions'!$C$26</definedName>
    <definedName name="TrustDist1" hidden="0" function="0" vbProcedure="0">'⚙ Assumptions'!$C$12</definedName>
    <definedName name="TrustDist2" hidden="0" function="0" vbProcedure="0">'⚙ Assumptions'!$C$13</definedName>
    <definedName name="TrustName" hidden="0" function="0" vbProcedure="0">'⚙ Assumptions'!$C$11</definedName>
  </definedNames>
  <calcPr calcId="124519" fullCalcOnLoad="1" refMode="A1" iterate="0" iterateCount="100" iterateDelta="0.0001"/>
</workbook>
</file>

<file path=xl/styles.xml><?xml version="1.0" encoding="utf-8"?>
<styleSheet xmlns="http://schemas.openxmlformats.org/spreadsheetml/2006/main">
  <numFmts count="4">
    <numFmt numFmtId="164" formatCode="0.0%"/>
    <numFmt numFmtId="165" formatCode="\$#,##0;[RED]&quot;($&quot;#,##0\);\-"/>
    <numFmt numFmtId="166" formatCode="0.0\x"/>
    <numFmt numFmtId="167" formatCode="0.0"/>
  </numFmts>
  <fonts count="32">
    <font>
      <name val="Calibri"/>
      <charset val="1"/>
      <family val="2"/>
      <color theme="1"/>
      <sz val="11"/>
    </font>
    <font>
      <name val="Arial"/>
      <family val="0"/>
      <sz val="10"/>
    </font>
    <font>
      <name val="Arial"/>
      <family val="0"/>
      <sz val="10"/>
    </font>
    <font>
      <name val="Arial"/>
      <family val="0"/>
      <sz val="10"/>
    </font>
    <font>
      <name val="Calibri"/>
      <charset val="1"/>
      <family val="0"/>
      <sz val="11"/>
    </font>
    <font>
      <name val="Calibri"/>
      <charset val="1"/>
      <family val="0"/>
      <b val="1"/>
      <color rgb="FF2A1F0E"/>
      <sz val="16"/>
    </font>
    <font>
      <name val="Calibri"/>
      <charset val="1"/>
      <family val="0"/>
      <b val="1"/>
      <color rgb="FF2A1F0E"/>
      <sz val="18"/>
    </font>
    <font>
      <name val="Calibri"/>
      <charset val="1"/>
      <family val="0"/>
      <i val="1"/>
      <color rgb="FF8A7D6B"/>
      <sz val="8"/>
    </font>
    <font>
      <name val="Calibri"/>
      <charset val="1"/>
      <family val="0"/>
      <i val="1"/>
      <color rgb="FFC8B078"/>
      <sz val="7"/>
    </font>
    <font>
      <name val="Calibri"/>
      <charset val="1"/>
      <family val="0"/>
      <b val="1"/>
      <color rgb="FFFFFFFF"/>
      <sz val="10"/>
    </font>
    <font>
      <name val="Calibri"/>
      <charset val="1"/>
      <family val="0"/>
      <b val="1"/>
      <color rgb="FF2A1F0E"/>
      <sz val="10"/>
    </font>
    <font>
      <name val="Calibri"/>
      <charset val="1"/>
      <family val="0"/>
      <color rgb="FF1A1A1A"/>
      <sz val="10"/>
    </font>
    <font>
      <name val="Calibri"/>
      <charset val="1"/>
      <family val="0"/>
      <color rgb="FF888888"/>
      <sz val="10"/>
    </font>
    <font>
      <name val="Calibri"/>
      <charset val="1"/>
      <family val="0"/>
      <color rgb="FF555555"/>
      <sz val="10"/>
    </font>
    <font>
      <name val="Calibri"/>
      <charset val="1"/>
      <family val="0"/>
      <b val="1"/>
      <color rgb="FFFFFFFF"/>
      <sz val="9"/>
    </font>
    <font>
      <name val="Calibri"/>
      <charset val="1"/>
      <family val="0"/>
      <color rgb="FF5C4F3D"/>
      <sz val="9"/>
    </font>
    <font>
      <name val="Calibri"/>
      <charset val="1"/>
      <family val="0"/>
      <color rgb="FF8A7D6B"/>
      <sz val="9"/>
    </font>
    <font>
      <name val="Calibri"/>
      <charset val="1"/>
      <family val="0"/>
      <b val="1"/>
      <color rgb="FF5C4F3D"/>
      <sz val="9"/>
    </font>
    <font>
      <name val="Calibri"/>
      <charset val="1"/>
      <family val="0"/>
      <color rgb="FF1A1A1A"/>
      <sz val="8"/>
    </font>
    <font>
      <name val="Calibri"/>
      <charset val="1"/>
      <family val="0"/>
      <b val="1"/>
      <color rgb="FF1A1A1A"/>
      <sz val="9"/>
    </font>
    <font>
      <name val="Calibri"/>
      <charset val="1"/>
      <family val="0"/>
      <i val="1"/>
      <color rgb="FF8A7D6B"/>
      <sz val="9"/>
    </font>
    <font>
      <name val="Calibri"/>
      <charset val="1"/>
      <family val="0"/>
      <color rgb="FFFFFFFF"/>
      <sz val="8"/>
    </font>
    <font>
      <name val="Calibri"/>
      <charset val="1"/>
      <family val="0"/>
      <b val="1"/>
      <color rgb="FF1A1A1A"/>
      <sz val="10"/>
    </font>
    <font>
      <name val="Calibri"/>
      <charset val="1"/>
      <family val="0"/>
      <b val="1"/>
      <color rgb="FFFFFFFF"/>
      <sz val="8"/>
    </font>
    <font>
      <name val="Calibri"/>
      <charset val="1"/>
      <family val="0"/>
      <b val="1"/>
      <color rgb="FFF37B2D"/>
      <sz val="9"/>
    </font>
    <font>
      <name val="Calibri"/>
      <charset val="1"/>
      <family val="0"/>
      <b val="1"/>
      <color rgb="FF2C5F4C"/>
      <sz val="9"/>
    </font>
    <font>
      <name val="Calibri"/>
      <charset val="1"/>
      <family val="0"/>
      <color rgb="FF1A1A1A"/>
      <sz val="9"/>
    </font>
    <font>
      <name val="Calibri"/>
      <charset val="1"/>
      <family val="0"/>
      <i val="1"/>
      <color rgb="FFC0B8A8"/>
      <sz val="9"/>
    </font>
    <font>
      <name val="Calibri"/>
      <charset val="1"/>
      <family val="0"/>
      <b val="1"/>
      <color rgb="FF1A1A1A"/>
      <sz val="11"/>
    </font>
    <font>
      <name val="Calibri"/>
      <charset val="1"/>
      <family val="0"/>
      <b val="1"/>
      <color rgb="FFFFFFFF"/>
      <sz val="12"/>
    </font>
    <font>
      <name val="Calibri"/>
      <charset val="1"/>
      <family val="0"/>
      <b val="1"/>
      <color rgb="FFC8952A"/>
      <sz val="12"/>
    </font>
    <font>
      <name val="Calibri"/>
      <charset val="1"/>
      <family val="0"/>
      <color rgb="FF555555"/>
      <sz val="9"/>
    </font>
  </fonts>
  <fills count="17">
    <fill>
      <patternFill/>
    </fill>
    <fill>
      <patternFill patternType="gray125"/>
    </fill>
    <fill>
      <patternFill patternType="solid">
        <fgColor rgb="FFF9F3E8"/>
        <bgColor rgb="FFF8F5F0"/>
      </patternFill>
    </fill>
    <fill>
      <patternFill patternType="solid">
        <fgColor rgb="FFFFFFFF"/>
        <bgColor rgb="FFFAFAFA"/>
      </patternFill>
    </fill>
    <fill>
      <patternFill patternType="solid">
        <fgColor rgb="FF2A1F0E"/>
        <bgColor rgb="FF1A1A1A"/>
      </patternFill>
    </fill>
    <fill>
      <patternFill patternType="solid">
        <fgColor rgb="FFF5EDD6"/>
        <bgColor rgb="FFF9F3E8"/>
      </patternFill>
    </fill>
    <fill>
      <patternFill patternType="solid">
        <fgColor rgb="FFFAFAFA"/>
        <bgColor rgb="FFFAF7F2"/>
      </patternFill>
    </fill>
    <fill>
      <patternFill patternType="solid">
        <fgColor rgb="FF2C5F4C"/>
        <bgColor rgb="FF555555"/>
      </patternFill>
    </fill>
    <fill>
      <patternFill patternType="solid">
        <fgColor rgb="FF5C4F3D"/>
        <bgColor rgb="FF5A4A2A"/>
      </patternFill>
    </fill>
    <fill>
      <patternFill patternType="solid">
        <fgColor rgb="FF6B2D2D"/>
        <bgColor rgb="FF4A3A1A"/>
      </patternFill>
    </fill>
    <fill>
      <patternFill patternType="solid">
        <fgColor rgb="FFFBF6EE"/>
        <bgColor rgb="FFFAF7F2"/>
      </patternFill>
    </fill>
    <fill>
      <patternFill patternType="solid">
        <fgColor rgb="FFFEF8E7"/>
        <bgColor rgb="FFFBF6EE"/>
      </patternFill>
    </fill>
    <fill>
      <patternFill patternType="solid">
        <fgColor rgb="FFFAF7F2"/>
        <bgColor rgb="FFFBF6EE"/>
      </patternFill>
    </fill>
    <fill>
      <patternFill patternType="solid">
        <fgColor rgb="FFF4F9F5"/>
        <bgColor rgb="FFF2F8F4"/>
      </patternFill>
    </fill>
    <fill>
      <patternFill patternType="solid">
        <fgColor rgb="FFF8F5F0"/>
        <bgColor rgb="FFFBF6EE"/>
      </patternFill>
    </fill>
    <fill>
      <patternFill patternType="solid">
        <fgColor rgb="FFF2F8F4"/>
        <bgColor rgb="FFF4F9F5"/>
      </patternFill>
    </fill>
    <fill>
      <patternFill patternType="solid">
        <fgColor rgb="FFC8952A"/>
        <bgColor rgb="FFF37B2D"/>
      </patternFill>
    </fill>
  </fills>
  <borders count="29">
    <border>
      <left/>
      <right/>
      <top/>
      <bottom/>
      <diagonal/>
    </border>
    <border>
      <left/>
      <right/>
      <top/>
      <bottom style="medium">
        <color rgb="FFC8952A"/>
      </bottom>
      <diagonal/>
    </border>
    <border>
      <left/>
      <right/>
      <top/>
      <bottom style="hair">
        <color rgb="FFEAE0D0"/>
      </bottom>
      <diagonal/>
    </border>
    <border>
      <left/>
      <right/>
      <top/>
      <bottom style="thin">
        <color rgb="FF5A4A2A"/>
      </bottom>
      <diagonal/>
    </border>
    <border>
      <left style="thin">
        <color rgb="FFE0D8CC"/>
      </left>
      <right/>
      <top style="thin">
        <color rgb="FFE0D8CC"/>
      </top>
      <bottom style="thin">
        <color rgb="FFE0D8CC"/>
      </bottom>
      <diagonal/>
    </border>
    <border>
      <left style="thin">
        <color rgb="FFD0D0D0"/>
      </left>
      <right style="thin">
        <color rgb="FFD0D0D0"/>
      </right>
      <top style="thin">
        <color rgb="FFD0D0D0"/>
      </top>
      <bottom style="thin">
        <color rgb="FFD0D0D0"/>
      </bottom>
      <diagonal/>
    </border>
    <border>
      <left style="medium">
        <color rgb="FFC8952A"/>
      </left>
      <right style="thin">
        <color rgb="FFE8D8B0"/>
      </right>
      <top style="thin">
        <color rgb="FFE8D8B0"/>
      </top>
      <bottom style="thin">
        <color rgb="FFE8D8B0"/>
      </bottom>
      <diagonal/>
    </border>
    <border>
      <left style="thin">
        <color rgb="FFE0D8CC"/>
      </left>
      <right style="thin">
        <color rgb="FFE0D8CC"/>
      </right>
      <top style="thin">
        <color rgb="FFE0D8CC"/>
      </top>
      <bottom style="thin">
        <color rgb="FFE0D8CC"/>
      </bottom>
      <diagonal/>
    </border>
    <border>
      <left/>
      <right style="thin">
        <color rgb="FFE0D8CC"/>
      </right>
      <top style="thin">
        <color rgb="FFE0D8CC"/>
      </top>
      <bottom style="thin">
        <color rgb="FFE0D8CC"/>
      </bottom>
      <diagonal/>
    </border>
    <border>
      <left/>
      <right/>
      <top style="thin">
        <color rgb="FFE0D8CC"/>
      </top>
      <bottom style="thin">
        <color rgb="FFE0D8CC"/>
      </bottom>
      <diagonal/>
    </border>
    <border>
      <left/>
      <right/>
      <top style="medium">
        <color rgb="FFC8952A"/>
      </top>
      <bottom/>
      <diagonal/>
    </border>
    <border>
      <left/>
      <right/>
      <top/>
      <bottom style="thin">
        <color rgb="FFC8952A"/>
      </bottom>
      <diagonal/>
    </border>
    <border>
      <left/>
      <right/>
      <top style="medium">
        <color rgb="FFC8952A"/>
      </top>
      <bottom style="medium">
        <color rgb="FFC8952A"/>
      </bottom>
      <diagonal/>
    </border>
    <border>
      <left/>
      <right/>
      <top/>
      <bottom style="thin">
        <color rgb="FF4A3A1A"/>
      </bottom>
      <diagonal/>
    </border>
    <border>
      <left style="thin">
        <color rgb="FF3A2A0A"/>
      </left>
      <right style="thin">
        <color rgb="FF3A2A0A"/>
      </right>
      <top style="thin">
        <color rgb="FF3A2A0A"/>
      </top>
      <bottom style="thin">
        <color rgb="FF3A2A0A"/>
      </bottom>
      <diagonal/>
    </border>
    <border>
      <left style="thin">
        <color rgb="FF3A2A0A"/>
      </left>
      <right/>
      <top style="thin">
        <color rgb="FF3A2A0A"/>
      </top>
      <bottom style="thin">
        <color rgb="FF3A2A0A"/>
      </bottom>
      <diagonal/>
    </border>
    <border>
      <left/>
      <right style="thin">
        <color rgb="FF3A2A0A"/>
      </right>
      <top style="thin">
        <color rgb="FFE0D8CC"/>
      </top>
      <bottom style="thin">
        <color rgb="FFE0D8CC"/>
      </bottom>
      <diagonal/>
    </border>
    <border>
      <left style="thin">
        <color rgb="FFE8E0D4"/>
      </left>
      <right style="thin">
        <color rgb="FFE8E0D4"/>
      </right>
      <top style="thin">
        <color rgb="FFE8E0D4"/>
      </top>
      <bottom style="thin">
        <color rgb="FFE8E0D4"/>
      </bottom>
      <diagonal/>
    </border>
    <border>
      <left style="thin">
        <color rgb="FFD0D0D0"/>
      </left>
      <right style="thin">
        <color rgb="FFE8D8B0"/>
      </right>
      <top style="thin">
        <color rgb="FFD0D0D0"/>
      </top>
      <bottom style="thin">
        <color rgb="FFD0D0D0"/>
      </bottom>
      <diagonal/>
    </border>
    <border>
      <left/>
      <right/>
      <top style="thin">
        <color rgb="FFD0D0D0"/>
      </top>
      <bottom/>
      <diagonal/>
    </border>
    <border>
      <left/>
      <right style="thin">
        <color rgb="FFD0D0D0"/>
      </right>
      <top style="thin">
        <color rgb="FFD0D0D0"/>
      </top>
      <bottom/>
      <diagonal/>
    </border>
    <border>
      <left/>
      <right/>
      <top style="thin">
        <color rgb="FFD0D0D0"/>
      </top>
      <bottom style="thin">
        <color rgb="FFD0D0D0"/>
      </bottom>
      <diagonal/>
    </border>
    <border>
      <left/>
      <right style="thin">
        <color rgb="FFD0D0D0"/>
      </right>
      <top style="thin">
        <color rgb="FFD0D0D0"/>
      </top>
      <bottom style="thin">
        <color rgb="FFD0D0D0"/>
      </bottom>
      <diagonal/>
    </border>
    <border>
      <left/>
      <right/>
      <top style="thin">
        <color rgb="FFE0D8CC"/>
      </top>
      <bottom/>
      <diagonal/>
    </border>
    <border>
      <left/>
      <right style="thin">
        <color rgb="FFE0D8CC"/>
      </right>
      <top style="thin">
        <color rgb="FFE0D8CC"/>
      </top>
      <bottom/>
      <diagonal/>
    </border>
    <border>
      <left/>
      <right/>
      <top style="thin">
        <color rgb="FF3A2A0A"/>
      </top>
      <bottom/>
      <diagonal/>
    </border>
    <border>
      <left/>
      <right/>
      <top style="thin">
        <color rgb="FF3A2A0A"/>
      </top>
      <bottom style="thin">
        <color rgb="FF3A2A0A"/>
      </bottom>
      <diagonal/>
    </border>
    <border>
      <left/>
      <right style="thin">
        <color rgb="FFE8D8B0"/>
      </right>
      <top style="thin">
        <color rgb="FFD0D0D0"/>
      </top>
      <bottom/>
      <diagonal/>
    </border>
    <border>
      <left/>
      <right style="thin">
        <color rgb="FFE8D8B0"/>
      </right>
      <top style="thin">
        <color rgb="FFD0D0D0"/>
      </top>
      <bottom style="thin">
        <color rgb="FFD0D0D0"/>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33">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0" fillId="2" borderId="0" applyAlignment="1" pivotButton="0" quotePrefix="0" xfId="0">
      <alignment horizontal="general" vertical="bottom"/>
    </xf>
    <xf numFmtId="0" fontId="4" fillId="2" borderId="0" applyAlignment="1" pivotButton="0" quotePrefix="0" xfId="0">
      <alignment horizontal="general" vertical="bottom"/>
    </xf>
    <xf numFmtId="0" fontId="5" fillId="0" borderId="0" applyAlignment="1" pivotButton="0" quotePrefix="0" xfId="0">
      <alignment horizontal="left" vertical="center" indent="1"/>
    </xf>
    <xf numFmtId="0" fontId="6" fillId="2" borderId="1" applyAlignment="1" pivotButton="0" quotePrefix="0" xfId="0">
      <alignment horizontal="left" vertical="center" indent="2"/>
    </xf>
    <xf numFmtId="0" fontId="7" fillId="3" borderId="2" applyAlignment="1" pivotButton="0" quotePrefix="0" xfId="0">
      <alignment horizontal="left" vertical="center" indent="2"/>
    </xf>
    <xf numFmtId="0" fontId="8" fillId="4" borderId="0" applyAlignment="1" pivotButton="0" quotePrefix="0" xfId="0">
      <alignment horizontal="left" vertical="center" indent="1"/>
    </xf>
    <xf numFmtId="0" fontId="9" fillId="4" borderId="3" applyAlignment="1" pivotButton="0" quotePrefix="0" xfId="0">
      <alignment horizontal="left" vertical="center" indent="1"/>
    </xf>
    <xf numFmtId="0" fontId="10" fillId="5" borderId="4" applyAlignment="1" pivotButton="0" quotePrefix="0" xfId="0">
      <alignment horizontal="left" vertical="center" indent="1"/>
    </xf>
    <xf numFmtId="0" fontId="11" fillId="6" borderId="4" applyAlignment="1" pivotButton="0" quotePrefix="0" xfId="0">
      <alignment horizontal="left" vertical="center" wrapText="1"/>
    </xf>
    <xf numFmtId="0" fontId="9" fillId="7" borderId="3" applyAlignment="1" pivotButton="0" quotePrefix="0" xfId="0">
      <alignment horizontal="left" vertical="center" indent="1"/>
    </xf>
    <xf numFmtId="0" fontId="9" fillId="8" borderId="3" applyAlignment="1" pivotButton="0" quotePrefix="0" xfId="0">
      <alignment horizontal="left" vertical="center" indent="1"/>
    </xf>
    <xf numFmtId="0" fontId="7" fillId="0" borderId="0" applyAlignment="1" pivotButton="0" quotePrefix="0" xfId="0">
      <alignment horizontal="left" vertical="center"/>
    </xf>
    <xf numFmtId="0" fontId="4" fillId="2" borderId="1" applyAlignment="1" pivotButton="0" quotePrefix="0" xfId="0">
      <alignment horizontal="general" vertical="bottom"/>
    </xf>
    <xf numFmtId="0" fontId="5" fillId="2" borderId="1" applyAlignment="1" pivotButton="0" quotePrefix="0" xfId="0">
      <alignment horizontal="left" vertical="center" indent="1"/>
    </xf>
    <xf numFmtId="0" fontId="4" fillId="0" borderId="0" applyAlignment="1" pivotButton="0" quotePrefix="0" xfId="0">
      <alignment horizontal="general" vertical="bottom"/>
    </xf>
    <xf numFmtId="0" fontId="4" fillId="3" borderId="2" applyAlignment="1" pivotButton="0" quotePrefix="0" xfId="0">
      <alignment horizontal="general" vertical="bottom"/>
    </xf>
    <xf numFmtId="0" fontId="7" fillId="3" borderId="2" applyAlignment="1" pivotButton="0" quotePrefix="0" xfId="0">
      <alignment horizontal="left" vertical="center"/>
    </xf>
    <xf numFmtId="0" fontId="4" fillId="4" borderId="0" applyAlignment="1" pivotButton="0" quotePrefix="0" xfId="0">
      <alignment horizontal="general" vertical="bottom"/>
    </xf>
    <xf numFmtId="0" fontId="9" fillId="4" borderId="5" applyAlignment="1" pivotButton="0" quotePrefix="0" xfId="0">
      <alignment horizontal="center" vertical="center" wrapText="1"/>
    </xf>
    <xf numFmtId="0" fontId="9" fillId="9" borderId="5" applyAlignment="1" pivotButton="0" quotePrefix="0" xfId="0">
      <alignment horizontal="left" vertical="center"/>
    </xf>
    <xf numFmtId="0" fontId="9" fillId="7" borderId="5" applyAlignment="1" pivotButton="0" quotePrefix="0" xfId="0">
      <alignment horizontal="center" vertical="center" wrapText="1"/>
    </xf>
    <xf numFmtId="0" fontId="11" fillId="10" borderId="5" applyAlignment="1" pivotButton="0" quotePrefix="0" xfId="0">
      <alignment horizontal="left" vertical="center"/>
    </xf>
    <xf numFmtId="49" fontId="11" fillId="11" borderId="6" applyAlignment="1" applyProtection="1" pivotButton="0" quotePrefix="0" xfId="0">
      <alignment horizontal="left" vertical="center"/>
      <protection locked="0" hidden="0"/>
    </xf>
    <xf numFmtId="0" fontId="12" fillId="0" borderId="5" applyAlignment="1" pivotButton="0" quotePrefix="0" xfId="0">
      <alignment horizontal="left" vertical="center"/>
    </xf>
    <xf numFmtId="0" fontId="11" fillId="12" borderId="5" applyAlignment="1" pivotButton="0" quotePrefix="0" xfId="0">
      <alignment horizontal="left" vertical="center"/>
    </xf>
    <xf numFmtId="49" fontId="11" fillId="13" borderId="5" applyAlignment="1" pivotButton="0" quotePrefix="0" xfId="0">
      <alignment horizontal="center" vertical="center" wrapText="1"/>
    </xf>
    <xf numFmtId="0" fontId="13" fillId="0" borderId="5" applyAlignment="1" pivotButton="0" quotePrefix="0" xfId="0">
      <alignment horizontal="left" vertical="center"/>
    </xf>
    <xf numFmtId="0" fontId="11" fillId="3" borderId="5" applyAlignment="1" pivotButton="0" quotePrefix="0" xfId="0">
      <alignment horizontal="left" vertical="center"/>
    </xf>
    <xf numFmtId="1" fontId="11" fillId="11" borderId="6" applyAlignment="1" applyProtection="1" pivotButton="0" quotePrefix="0" xfId="0">
      <alignment horizontal="left" vertical="center"/>
      <protection locked="0" hidden="0"/>
    </xf>
    <xf numFmtId="0" fontId="11" fillId="10" borderId="5" applyAlignment="1" pivotButton="0" quotePrefix="0" xfId="0">
      <alignment horizontal="left" vertical="center" wrapText="1"/>
    </xf>
    <xf numFmtId="9" fontId="11" fillId="11" borderId="6" applyAlignment="1" applyProtection="1" pivotButton="0" quotePrefix="0" xfId="0">
      <alignment horizontal="left" vertical="center"/>
      <protection locked="0" hidden="0"/>
    </xf>
    <xf numFmtId="0" fontId="11" fillId="12" borderId="5" applyAlignment="1" pivotButton="0" quotePrefix="0" xfId="0">
      <alignment horizontal="left" vertical="center" wrapText="1"/>
    </xf>
    <xf numFmtId="164" fontId="11" fillId="11" borderId="6" applyAlignment="1" applyProtection="1" pivotButton="0" quotePrefix="0" xfId="0">
      <alignment horizontal="left" vertical="center"/>
      <protection locked="0" hidden="0"/>
    </xf>
    <xf numFmtId="0" fontId="14" fillId="4" borderId="7" applyAlignment="1" pivotButton="0" quotePrefix="0" xfId="0">
      <alignment horizontal="center" vertical="center" wrapText="1"/>
    </xf>
    <xf numFmtId="0" fontId="15" fillId="10" borderId="7" applyAlignment="1" pivotButton="0" quotePrefix="0" xfId="0">
      <alignment horizontal="left" vertical="center" wrapText="1"/>
    </xf>
    <xf numFmtId="0" fontId="16" fillId="10" borderId="7" applyAlignment="1" pivotButton="0" quotePrefix="0" xfId="0">
      <alignment horizontal="left" vertical="center" wrapText="1"/>
    </xf>
    <xf numFmtId="0" fontId="17" fillId="5" borderId="7" applyAlignment="1" pivotButton="0" quotePrefix="0" xfId="0">
      <alignment horizontal="left" vertical="center"/>
    </xf>
    <xf numFmtId="0" fontId="16" fillId="5" borderId="7" applyAlignment="1" pivotButton="0" quotePrefix="0" xfId="0">
      <alignment horizontal="left" vertical="center" wrapText="1"/>
    </xf>
    <xf numFmtId="0" fontId="17" fillId="10" borderId="7" applyAlignment="1" pivotButton="0" quotePrefix="0" xfId="0">
      <alignment horizontal="left" vertical="center"/>
    </xf>
    <xf numFmtId="0" fontId="17" fillId="5" borderId="7" applyAlignment="1" pivotButton="0" quotePrefix="0" xfId="0">
      <alignment horizontal="left" vertical="center" wrapText="1"/>
    </xf>
    <xf numFmtId="0" fontId="7" fillId="5" borderId="7" applyAlignment="1" pivotButton="0" quotePrefix="0" xfId="0">
      <alignment horizontal="left" vertical="center" wrapText="1"/>
    </xf>
    <xf numFmtId="0" fontId="17" fillId="10" borderId="4" applyAlignment="1" pivotButton="0" quotePrefix="0" xfId="0">
      <alignment horizontal="left" vertical="center"/>
    </xf>
    <xf numFmtId="0" fontId="16" fillId="10" borderId="4" applyAlignment="1" pivotButton="0" quotePrefix="0" xfId="0">
      <alignment horizontal="left" vertical="center" wrapText="1"/>
    </xf>
    <xf numFmtId="0" fontId="0" fillId="0" borderId="8" applyAlignment="1" pivotButton="0" quotePrefix="0" xfId="0">
      <alignment horizontal="general" vertical="bottom"/>
    </xf>
    <xf numFmtId="0" fontId="0" fillId="0" borderId="9" applyAlignment="1" pivotButton="0" quotePrefix="0" xfId="0">
      <alignment horizontal="general" vertical="bottom"/>
    </xf>
    <xf numFmtId="0" fontId="0" fillId="0" borderId="0" applyAlignment="1" pivotButton="0" quotePrefix="0" xfId="0">
      <alignment horizontal="general" vertical="bottom"/>
    </xf>
    <xf numFmtId="0" fontId="0" fillId="3" borderId="10" applyAlignment="1" pivotButton="0" quotePrefix="0" xfId="0">
      <alignment horizontal="general" vertical="bottom"/>
    </xf>
    <xf numFmtId="0" fontId="7" fillId="3" borderId="0" applyAlignment="1" pivotButton="0" quotePrefix="0" xfId="0">
      <alignment horizontal="left" vertical="center"/>
    </xf>
    <xf numFmtId="0" fontId="14" fillId="4" borderId="3" applyAlignment="1" pivotButton="0" quotePrefix="0" xfId="0">
      <alignment horizontal="center" vertical="center" wrapText="1"/>
    </xf>
    <xf numFmtId="0" fontId="0" fillId="0" borderId="3" applyAlignment="1" pivotButton="0" quotePrefix="0" xfId="0">
      <alignment horizontal="general" vertical="bottom"/>
    </xf>
    <xf numFmtId="0" fontId="14" fillId="7" borderId="0" applyAlignment="1" pivotButton="0" quotePrefix="0" xfId="0">
      <alignment horizontal="center" vertical="center" wrapText="1"/>
    </xf>
    <xf numFmtId="0" fontId="11" fillId="12" borderId="0" applyAlignment="1" pivotButton="0" quotePrefix="0" xfId="0">
      <alignment horizontal="left" vertical="center" wrapText="1"/>
    </xf>
    <xf numFmtId="49" fontId="0" fillId="11" borderId="6" applyAlignment="1" applyProtection="1" pivotButton="0" quotePrefix="0" xfId="0">
      <alignment horizontal="center" vertical="bottom"/>
      <protection locked="0" hidden="0"/>
    </xf>
    <xf numFmtId="0" fontId="16" fillId="0" borderId="0" applyAlignment="1" pivotButton="0" quotePrefix="0" xfId="0">
      <alignment horizontal="general" vertical="bottom"/>
    </xf>
    <xf numFmtId="9" fontId="0" fillId="11" borderId="6" applyAlignment="1" applyProtection="1" pivotButton="0" quotePrefix="0" xfId="0">
      <alignment horizontal="center" vertical="bottom"/>
      <protection locked="0" hidden="0"/>
    </xf>
    <xf numFmtId="0" fontId="11" fillId="14" borderId="4" applyAlignment="1" pivotButton="0" quotePrefix="0" xfId="0">
      <alignment horizontal="left" vertical="center"/>
    </xf>
    <xf numFmtId="0" fontId="0" fillId="0" borderId="0" applyAlignment="1" pivotButton="0" quotePrefix="0" xfId="0">
      <alignment horizontal="general" vertical="bottom"/>
    </xf>
    <xf numFmtId="0" fontId="11" fillId="14" borderId="7" applyAlignment="1" pivotButton="0" quotePrefix="0" xfId="0">
      <alignment horizontal="left" vertical="center"/>
    </xf>
    <xf numFmtId="0" fontId="7" fillId="14" borderId="4" applyAlignment="1" pivotButton="0" quotePrefix="0" xfId="0">
      <alignment horizontal="left" vertical="center"/>
    </xf>
    <xf numFmtId="0" fontId="0" fillId="11" borderId="6" applyAlignment="1" applyProtection="1" pivotButton="0" quotePrefix="0" xfId="0">
      <alignment horizontal="center" vertical="bottom"/>
      <protection locked="0" hidden="0"/>
    </xf>
    <xf numFmtId="0" fontId="0" fillId="0" borderId="8" applyAlignment="1" pivotButton="0" quotePrefix="0" xfId="0">
      <alignment horizontal="general" vertical="bottom"/>
    </xf>
    <xf numFmtId="0" fontId="14" fillId="4" borderId="3" applyAlignment="1" pivotButton="0" quotePrefix="0" xfId="0">
      <alignment horizontal="left" vertical="center" indent="1"/>
    </xf>
    <xf numFmtId="0" fontId="18" fillId="11" borderId="6" applyAlignment="1" applyProtection="1" pivotButton="0" quotePrefix="0" xfId="0">
      <alignment horizontal="center" vertical="center"/>
      <protection locked="0" hidden="0"/>
    </xf>
    <xf numFmtId="0" fontId="19" fillId="14" borderId="7" applyAlignment="1" pivotButton="0" quotePrefix="0" xfId="0">
      <alignment horizontal="left" vertical="center"/>
    </xf>
    <xf numFmtId="0" fontId="20" fillId="14" borderId="4" applyAlignment="1" pivotButton="0" quotePrefix="0" xfId="0">
      <alignment horizontal="left" vertical="center"/>
    </xf>
    <xf numFmtId="0" fontId="18" fillId="15" borderId="7" applyAlignment="1" pivotButton="0" quotePrefix="0" xfId="0">
      <alignment horizontal="center" vertical="center"/>
    </xf>
    <xf numFmtId="0" fontId="21" fillId="4" borderId="7" applyAlignment="1" pivotButton="0" quotePrefix="0" xfId="0">
      <alignment horizontal="center" vertical="center"/>
    </xf>
    <xf numFmtId="0" fontId="18" fillId="5" borderId="7" applyAlignment="1" pivotButton="0" quotePrefix="0" xfId="0">
      <alignment horizontal="center" vertical="center"/>
    </xf>
    <xf numFmtId="0" fontId="21" fillId="7" borderId="7" applyAlignment="1" pivotButton="0" quotePrefix="0" xfId="0">
      <alignment horizontal="center" vertical="center"/>
    </xf>
    <xf numFmtId="0" fontId="9" fillId="16" borderId="5" applyAlignment="1" pivotButton="0" quotePrefix="0" xfId="0">
      <alignment horizontal="center" vertical="center" wrapText="1"/>
    </xf>
    <xf numFmtId="164" fontId="11" fillId="13" borderId="5" applyAlignment="1" pivotButton="0" quotePrefix="0" xfId="0">
      <alignment horizontal="right" vertical="center"/>
    </xf>
    <xf numFmtId="0" fontId="12" fillId="12" borderId="5" applyAlignment="1" pivotButton="0" quotePrefix="0" xfId="0">
      <alignment horizontal="left" vertical="center"/>
    </xf>
    <xf numFmtId="165" fontId="11" fillId="13" borderId="5" applyAlignment="1" pivotButton="0" quotePrefix="0" xfId="0">
      <alignment horizontal="right" vertical="center"/>
    </xf>
    <xf numFmtId="0" fontId="12" fillId="3" borderId="5" applyAlignment="1" pivotButton="0" quotePrefix="0" xfId="0">
      <alignment horizontal="left" vertical="center"/>
    </xf>
    <xf numFmtId="0" fontId="11" fillId="3" borderId="5" applyAlignment="1" pivotButton="0" quotePrefix="0" xfId="0">
      <alignment horizontal="left" vertical="center" wrapText="1"/>
    </xf>
    <xf numFmtId="166" fontId="11" fillId="13" borderId="5" applyAlignment="1" pivotButton="0" quotePrefix="0" xfId="0">
      <alignment horizontal="right" vertical="center"/>
    </xf>
    <xf numFmtId="0" fontId="22" fillId="5" borderId="5" applyAlignment="1" pivotButton="0" quotePrefix="0" xfId="0">
      <alignment horizontal="left" vertical="center"/>
    </xf>
    <xf numFmtId="165" fontId="22" fillId="5" borderId="5" applyAlignment="1" pivotButton="0" quotePrefix="0" xfId="0">
      <alignment horizontal="right" vertical="center"/>
    </xf>
    <xf numFmtId="165" fontId="11" fillId="11" borderId="6" applyAlignment="1" applyProtection="1" pivotButton="0" quotePrefix="0" xfId="0">
      <alignment horizontal="right" vertical="center"/>
      <protection locked="0" hidden="0"/>
    </xf>
    <xf numFmtId="0" fontId="9" fillId="9" borderId="5" applyAlignment="1" pivotButton="0" quotePrefix="0" xfId="0">
      <alignment horizontal="left" vertical="center" wrapText="1"/>
    </xf>
    <xf numFmtId="0" fontId="22" fillId="0" borderId="5" applyAlignment="1" pivotButton="0" quotePrefix="0" xfId="0">
      <alignment horizontal="left" vertical="center"/>
    </xf>
    <xf numFmtId="165" fontId="22" fillId="13" borderId="5" applyAlignment="1" pivotButton="0" quotePrefix="0" xfId="0">
      <alignment horizontal="right" vertical="center"/>
    </xf>
    <xf numFmtId="0" fontId="14" fillId="7" borderId="5" applyAlignment="1" pivotButton="0" quotePrefix="0" xfId="0">
      <alignment horizontal="center" vertical="center" wrapText="1"/>
    </xf>
    <xf numFmtId="0" fontId="14" fillId="4" borderId="5" applyAlignment="1" pivotButton="0" quotePrefix="0" xfId="0">
      <alignment horizontal="center" vertical="center" wrapText="1"/>
    </xf>
    <xf numFmtId="0" fontId="0" fillId="0" borderId="5" applyAlignment="1" pivotButton="0" quotePrefix="0" xfId="0">
      <alignment horizontal="general" vertical="bottom"/>
    </xf>
    <xf numFmtId="0" fontId="23" fillId="7" borderId="5" applyAlignment="1" pivotButton="0" quotePrefix="0" xfId="0">
      <alignment horizontal="center" vertical="center" wrapText="1"/>
    </xf>
    <xf numFmtId="0" fontId="24" fillId="5" borderId="5" applyAlignment="1" pivotButton="0" quotePrefix="0" xfId="0">
      <alignment horizontal="center" vertical="center" wrapText="1"/>
    </xf>
    <xf numFmtId="0" fontId="25" fillId="13" borderId="5" applyAlignment="1" pivotButton="0" quotePrefix="0" xfId="0">
      <alignment horizontal="center" vertical="center" wrapText="1"/>
    </xf>
    <xf numFmtId="0" fontId="22" fillId="5" borderId="5" applyAlignment="1" pivotButton="0" quotePrefix="0" xfId="0">
      <alignment horizontal="left" vertical="center" wrapText="1"/>
    </xf>
    <xf numFmtId="0" fontId="0" fillId="0" borderId="1" applyAlignment="1" pivotButton="0" quotePrefix="0" xfId="0">
      <alignment horizontal="general" vertical="bottom"/>
    </xf>
    <xf numFmtId="0" fontId="0" fillId="0" borderId="2" applyAlignment="1" pivotButton="0" quotePrefix="0" xfId="0">
      <alignment horizontal="general" vertical="bottom"/>
    </xf>
    <xf numFmtId="0" fontId="14" fillId="7" borderId="7" applyAlignment="1" pivotButton="0" quotePrefix="0" xfId="0">
      <alignment horizontal="center" vertical="center" wrapText="1"/>
    </xf>
    <xf numFmtId="0" fontId="14" fillId="4" borderId="4" applyAlignment="1" pivotButton="0" quotePrefix="0" xfId="0">
      <alignment horizontal="center" vertical="center" wrapText="1"/>
    </xf>
    <xf numFmtId="0" fontId="0" fillId="4" borderId="3" applyAlignment="1" pivotButton="0" quotePrefix="0" xfId="0">
      <alignment horizontal="general" vertical="bottom"/>
    </xf>
    <xf numFmtId="0" fontId="11" fillId="14" borderId="7" applyAlignment="1" pivotButton="0" quotePrefix="0" xfId="0">
      <alignment horizontal="left" vertical="center" wrapText="1"/>
    </xf>
    <xf numFmtId="165" fontId="0" fillId="11" borderId="6" applyAlignment="1" applyProtection="1" pivotButton="0" quotePrefix="0" xfId="0">
      <alignment horizontal="right" vertical="center"/>
      <protection locked="0" hidden="0"/>
    </xf>
    <xf numFmtId="165" fontId="11" fillId="15" borderId="7" applyAlignment="1" pivotButton="0" quotePrefix="0" xfId="0">
      <alignment horizontal="right" vertical="center"/>
    </xf>
    <xf numFmtId="0" fontId="0" fillId="14" borderId="0" applyAlignment="1" pivotButton="0" quotePrefix="0" xfId="0">
      <alignment horizontal="general" vertical="bottom"/>
    </xf>
    <xf numFmtId="0" fontId="26" fillId="14" borderId="7" applyAlignment="1" pivotButton="0" quotePrefix="0" xfId="0">
      <alignment horizontal="left" vertical="center" wrapText="1"/>
    </xf>
    <xf numFmtId="0" fontId="11" fillId="3" borderId="7" applyAlignment="1" pivotButton="0" quotePrefix="0" xfId="0">
      <alignment horizontal="left" vertical="center" wrapText="1"/>
    </xf>
    <xf numFmtId="0" fontId="0" fillId="3" borderId="0" applyAlignment="1" pivotButton="0" quotePrefix="0" xfId="0">
      <alignment horizontal="general" vertical="bottom"/>
    </xf>
    <xf numFmtId="0" fontId="26" fillId="3" borderId="7" applyAlignment="1" pivotButton="0" quotePrefix="0" xfId="0">
      <alignment horizontal="left" vertical="center" wrapText="1"/>
    </xf>
    <xf numFmtId="0" fontId="0" fillId="3" borderId="11" applyAlignment="1" pivotButton="0" quotePrefix="0" xfId="0">
      <alignment horizontal="general" vertical="bottom"/>
    </xf>
    <xf numFmtId="0" fontId="14" fillId="7" borderId="3" applyAlignment="1" pivotButton="0" quotePrefix="0" xfId="0">
      <alignment horizontal="left" vertical="center" indent="1"/>
    </xf>
    <xf numFmtId="49" fontId="27" fillId="11" borderId="6" applyAlignment="1" applyProtection="1" pivotButton="0" quotePrefix="0" xfId="0">
      <alignment horizontal="left" vertical="center"/>
      <protection locked="0" hidden="0"/>
    </xf>
    <xf numFmtId="165" fontId="11" fillId="15" borderId="4" applyAlignment="1" pivotButton="0" quotePrefix="0" xfId="0">
      <alignment horizontal="right" vertical="center"/>
    </xf>
    <xf numFmtId="0" fontId="22" fillId="5" borderId="7" applyAlignment="1" pivotButton="0" quotePrefix="0" xfId="0">
      <alignment horizontal="left" vertical="center" wrapText="1"/>
    </xf>
    <xf numFmtId="165" fontId="22" fillId="5" borderId="7" applyAlignment="1" pivotButton="0" quotePrefix="0" xfId="0">
      <alignment horizontal="right" vertical="center"/>
    </xf>
    <xf numFmtId="165" fontId="22" fillId="5" borderId="4" applyAlignment="1" pivotButton="0" quotePrefix="0" xfId="0">
      <alignment horizontal="right" vertical="center"/>
    </xf>
    <xf numFmtId="0" fontId="28" fillId="5" borderId="7" applyAlignment="1" pivotButton="0" quotePrefix="0" xfId="0">
      <alignment horizontal="left" vertical="center" wrapText="1"/>
    </xf>
    <xf numFmtId="165" fontId="28" fillId="5" borderId="12" applyAlignment="1" pivotButton="0" quotePrefix="0" xfId="0">
      <alignment horizontal="right" vertical="center"/>
    </xf>
    <xf numFmtId="0" fontId="0" fillId="3" borderId="1" applyAlignment="1" pivotButton="0" quotePrefix="0" xfId="0">
      <alignment horizontal="general" vertical="bottom"/>
    </xf>
    <xf numFmtId="0" fontId="0" fillId="7" borderId="13" applyAlignment="1" pivotButton="0" quotePrefix="0" xfId="0">
      <alignment horizontal="general" vertical="bottom"/>
    </xf>
    <xf numFmtId="0" fontId="29" fillId="4" borderId="7" applyAlignment="1" pivotButton="0" quotePrefix="0" xfId="0">
      <alignment horizontal="left" vertical="center" wrapText="1"/>
    </xf>
    <xf numFmtId="165" fontId="29" fillId="4" borderId="14" applyAlignment="1" pivotButton="0" quotePrefix="0" xfId="0">
      <alignment horizontal="right" vertical="center"/>
    </xf>
    <xf numFmtId="165" fontId="29" fillId="4" borderId="15" applyAlignment="1" pivotButton="0" quotePrefix="0" xfId="0">
      <alignment horizontal="right" vertical="center"/>
    </xf>
    <xf numFmtId="0" fontId="0" fillId="0" borderId="16" applyAlignment="1" pivotButton="0" quotePrefix="0" xfId="0">
      <alignment horizontal="general" vertical="bottom"/>
    </xf>
    <xf numFmtId="0" fontId="14" fillId="8" borderId="3" applyAlignment="1" pivotButton="0" quotePrefix="0" xfId="0">
      <alignment horizontal="left" vertical="center" indent="1"/>
    </xf>
    <xf numFmtId="0" fontId="0" fillId="8" borderId="3" applyAlignment="1" pivotButton="0" quotePrefix="0" xfId="0">
      <alignment horizontal="general" vertical="bottom"/>
    </xf>
    <xf numFmtId="164" fontId="11" fillId="15" borderId="7" applyAlignment="1" pivotButton="0" quotePrefix="0" xfId="0">
      <alignment horizontal="right" vertical="center"/>
    </xf>
    <xf numFmtId="164" fontId="11" fillId="15" borderId="4" applyAlignment="1" pivotButton="0" quotePrefix="0" xfId="0">
      <alignment horizontal="right" vertical="center"/>
    </xf>
    <xf numFmtId="0" fontId="11" fillId="15" borderId="7" applyAlignment="1" pivotButton="0" quotePrefix="0" xfId="0">
      <alignment horizontal="right" vertical="center"/>
    </xf>
    <xf numFmtId="0" fontId="11" fillId="15" borderId="4" applyAlignment="1" pivotButton="0" quotePrefix="0" xfId="0">
      <alignment horizontal="right" vertical="center"/>
    </xf>
    <xf numFmtId="0" fontId="19" fillId="3" borderId="7" applyAlignment="1" pivotButton="0" quotePrefix="0" xfId="0">
      <alignment horizontal="left" vertical="center" wrapText="1"/>
    </xf>
    <xf numFmtId="0" fontId="20" fillId="3" borderId="4" applyAlignment="1" pivotButton="0" quotePrefix="0" xfId="0">
      <alignment horizontal="left" vertical="center" wrapText="1"/>
    </xf>
    <xf numFmtId="0" fontId="19" fillId="14" borderId="7" applyAlignment="1" pivotButton="0" quotePrefix="0" xfId="0">
      <alignment horizontal="left" vertical="center" wrapText="1"/>
    </xf>
    <xf numFmtId="0" fontId="20" fillId="14" borderId="4" applyAlignment="1" pivotButton="0" quotePrefix="0" xfId="0">
      <alignment horizontal="left" vertical="center" wrapText="1"/>
    </xf>
    <xf numFmtId="0" fontId="23" fillId="4" borderId="5" applyAlignment="1" pivotButton="0" quotePrefix="0" xfId="0">
      <alignment horizontal="center" vertical="center" wrapText="1"/>
    </xf>
    <xf numFmtId="0" fontId="14" fillId="9" borderId="5" applyAlignment="1" pivotButton="0" quotePrefix="0" xfId="0">
      <alignment horizontal="center" vertical="center" wrapText="1"/>
    </xf>
    <xf numFmtId="0" fontId="17" fillId="10" borderId="7" applyAlignment="1" pivotButton="0" quotePrefix="0" xfId="0">
      <alignment horizontal="left" vertical="center" wrapText="1"/>
    </xf>
    <xf numFmtId="165" fontId="11" fillId="13" borderId="17" applyAlignment="1" pivotButton="0" quotePrefix="0" xfId="0">
      <alignment horizontal="right" vertical="center"/>
    </xf>
    <xf numFmtId="0" fontId="14" fillId="4" borderId="5" applyAlignment="1" pivotButton="0" quotePrefix="0" xfId="0">
      <alignment horizontal="general" vertical="bottom"/>
    </xf>
    <xf numFmtId="0" fontId="22" fillId="10" borderId="5" applyAlignment="1" pivotButton="0" quotePrefix="0" xfId="0">
      <alignment horizontal="left" vertical="center"/>
    </xf>
    <xf numFmtId="165" fontId="22" fillId="10" borderId="5" applyAlignment="1" pivotButton="0" quotePrefix="0" xfId="0">
      <alignment horizontal="right" vertical="center"/>
    </xf>
    <xf numFmtId="0" fontId="22" fillId="12" borderId="5" applyAlignment="1" pivotButton="0" quotePrefix="0" xfId="0">
      <alignment horizontal="left" vertical="center"/>
    </xf>
    <xf numFmtId="165" fontId="22" fillId="12" borderId="5" applyAlignment="1" pivotButton="0" quotePrefix="0" xfId="0">
      <alignment horizontal="right" vertical="center"/>
    </xf>
    <xf numFmtId="165" fontId="11" fillId="12" borderId="5" applyAlignment="1" pivotButton="0" quotePrefix="0" xfId="0">
      <alignment horizontal="right" vertical="center"/>
    </xf>
    <xf numFmtId="164" fontId="11" fillId="11" borderId="6" applyAlignment="1" applyProtection="1" pivotButton="0" quotePrefix="0" xfId="0">
      <alignment horizontal="right" vertical="center"/>
      <protection locked="0" hidden="0"/>
    </xf>
    <xf numFmtId="1" fontId="11" fillId="11" borderId="6" applyAlignment="1" applyProtection="1" pivotButton="0" quotePrefix="0" xfId="0">
      <alignment horizontal="right" vertical="center"/>
      <protection locked="0" hidden="0"/>
    </xf>
    <xf numFmtId="165" fontId="11" fillId="3" borderId="5" applyAlignment="1" pivotButton="0" quotePrefix="0" xfId="0">
      <alignment horizontal="right" vertical="center"/>
    </xf>
    <xf numFmtId="0" fontId="0" fillId="11" borderId="6" applyAlignment="1" applyProtection="1" pivotButton="0" quotePrefix="0" xfId="0">
      <alignment horizontal="general" vertical="bottom"/>
      <protection locked="0" hidden="0"/>
    </xf>
    <xf numFmtId="0" fontId="9" fillId="4" borderId="18" applyAlignment="1" pivotButton="0" quotePrefix="0" xfId="0">
      <alignment horizontal="center" vertical="center" wrapText="1"/>
    </xf>
    <xf numFmtId="0" fontId="22" fillId="3" borderId="5" applyAlignment="1" pivotButton="0" quotePrefix="0" xfId="0">
      <alignment horizontal="left" vertical="center"/>
    </xf>
    <xf numFmtId="0" fontId="22" fillId="12" borderId="5" applyAlignment="1" pivotButton="0" quotePrefix="0" xfId="0">
      <alignment horizontal="left" vertical="center" wrapText="1"/>
    </xf>
    <xf numFmtId="0" fontId="22" fillId="3" borderId="5" applyAlignment="1" pivotButton="0" quotePrefix="0" xfId="0">
      <alignment horizontal="left" vertical="center" wrapText="1"/>
    </xf>
    <xf numFmtId="49" fontId="11" fillId="11" borderId="6" applyAlignment="1" applyProtection="1" pivotButton="0" quotePrefix="0" xfId="0">
      <alignment horizontal="right" vertical="center"/>
      <protection locked="0" hidden="0"/>
    </xf>
    <xf numFmtId="0" fontId="7" fillId="3" borderId="0" applyAlignment="1" pivotButton="0" quotePrefix="0" xfId="0">
      <alignment horizontal="left" vertical="center"/>
    </xf>
    <xf numFmtId="167" fontId="11" fillId="13" borderId="5" applyAlignment="1" pivotButton="0" quotePrefix="0" xfId="0">
      <alignment horizontal="right" vertical="center"/>
    </xf>
    <xf numFmtId="49" fontId="11" fillId="12" borderId="5" applyAlignment="1" pivotButton="0" quotePrefix="0" xfId="0">
      <alignment horizontal="center" vertical="center" wrapText="1"/>
    </xf>
    <xf numFmtId="49" fontId="11" fillId="3" borderId="5" applyAlignment="1" pivotButton="0" quotePrefix="0" xfId="0">
      <alignment horizontal="center" vertical="center" wrapText="1"/>
    </xf>
    <xf numFmtId="1" fontId="11" fillId="13" borderId="5" applyAlignment="1" pivotButton="0" quotePrefix="0" xfId="0">
      <alignment horizontal="right" vertical="center"/>
    </xf>
    <xf numFmtId="165" fontId="22" fillId="5" borderId="0" applyAlignment="1" pivotButton="0" quotePrefix="0" xfId="0">
      <alignment horizontal="right" vertical="center"/>
    </xf>
    <xf numFmtId="165" fontId="30" fillId="5" borderId="0" applyAlignment="1" pivotButton="0" quotePrefix="0" xfId="0">
      <alignment horizontal="right" vertical="center"/>
    </xf>
    <xf numFmtId="0" fontId="31" fillId="3" borderId="5" applyAlignment="1" pivotButton="0" quotePrefix="0" xfId="0">
      <alignment horizontal="left" vertical="center"/>
    </xf>
    <xf numFmtId="49" fontId="11" fillId="3" borderId="5" applyAlignment="1" pivotButton="0" quotePrefix="0" xfId="0">
      <alignment horizontal="left" vertical="center"/>
    </xf>
    <xf numFmtId="49" fontId="7" fillId="11" borderId="6" applyAlignment="1" applyProtection="1" pivotButton="0" quotePrefix="0" xfId="0">
      <alignment horizontal="left" vertical="center"/>
      <protection locked="0" hidden="0"/>
    </xf>
    <xf numFmtId="0" fontId="31" fillId="12" borderId="5" applyAlignment="1" pivotButton="0" quotePrefix="0" xfId="0">
      <alignment horizontal="left" vertical="center"/>
    </xf>
    <xf numFmtId="49" fontId="11" fillId="12" borderId="5" applyAlignment="1" pivotButton="0" quotePrefix="0" xfId="0">
      <alignment horizontal="left" vertical="center"/>
    </xf>
    <xf numFmtId="49" fontId="7" fillId="15" borderId="7" applyAlignment="1" pivotButton="0" quotePrefix="0" xfId="0">
      <alignment horizontal="left" vertical="center"/>
    </xf>
    <xf numFmtId="0" fontId="7" fillId="10" borderId="7" applyAlignment="1" pivotButton="0" quotePrefix="0" xfId="0">
      <alignment horizontal="left" vertical="center" wrapText="1"/>
    </xf>
    <xf numFmtId="0" fontId="0" fillId="0" borderId="0" applyAlignment="1" pivotButton="0" quotePrefix="0" xfId="0">
      <alignment horizontal="general" vertical="bottom"/>
    </xf>
    <xf numFmtId="0" fontId="0" fillId="0" borderId="0" pivotButton="0" quotePrefix="0" xfId="0"/>
    <xf numFmtId="0" fontId="0" fillId="2" borderId="0" applyAlignment="1" applyProtection="1" pivotButton="0" quotePrefix="0" xfId="0">
      <alignment horizontal="general" vertical="bottom"/>
      <protection locked="0" hidden="0"/>
    </xf>
    <xf numFmtId="0" fontId="4" fillId="2" borderId="0" applyAlignment="1" applyProtection="1" pivotButton="0" quotePrefix="0" xfId="0">
      <alignment horizontal="general" vertical="bottom"/>
      <protection locked="0" hidden="0"/>
    </xf>
    <xf numFmtId="0" fontId="5" fillId="0" borderId="0" applyAlignment="1" applyProtection="1" pivotButton="0" quotePrefix="0" xfId="0">
      <alignment horizontal="left" vertical="center" indent="1"/>
      <protection locked="0" hidden="0"/>
    </xf>
    <xf numFmtId="0" fontId="6" fillId="2" borderId="1" applyAlignment="1" applyProtection="1" pivotButton="0" quotePrefix="0" xfId="0">
      <alignment horizontal="left" vertical="center" indent="2"/>
      <protection locked="0" hidden="0"/>
    </xf>
    <xf numFmtId="0" fontId="0" fillId="0" borderId="1" applyProtection="1" pivotButton="0" quotePrefix="0" xfId="0">
      <protection locked="0" hidden="0"/>
    </xf>
    <xf numFmtId="0" fontId="7" fillId="3" borderId="2" applyAlignment="1" applyProtection="1" pivotButton="0" quotePrefix="0" xfId="0">
      <alignment horizontal="left" vertical="center" indent="2"/>
      <protection locked="0" hidden="0"/>
    </xf>
    <xf numFmtId="0" fontId="0" fillId="0" borderId="2" applyProtection="1" pivotButton="0" quotePrefix="0" xfId="0">
      <protection locked="0" hidden="0"/>
    </xf>
    <xf numFmtId="0" fontId="8" fillId="4" borderId="0" applyAlignment="1" applyProtection="1" pivotButton="0" quotePrefix="0" xfId="0">
      <alignment horizontal="left" vertical="center" indent="1"/>
      <protection locked="0" hidden="0"/>
    </xf>
    <xf numFmtId="0" fontId="0" fillId="0" borderId="0" applyProtection="1" pivotButton="0" quotePrefix="0" xfId="0">
      <protection locked="0" hidden="0"/>
    </xf>
    <xf numFmtId="0" fontId="9" fillId="4" borderId="3" applyAlignment="1" applyProtection="1" pivotButton="0" quotePrefix="0" xfId="0">
      <alignment horizontal="left" vertical="center" indent="1"/>
      <protection locked="0" hidden="0"/>
    </xf>
    <xf numFmtId="0" fontId="10" fillId="5" borderId="4" applyAlignment="1" applyProtection="1" pivotButton="0" quotePrefix="0" xfId="0">
      <alignment horizontal="left" vertical="center" indent="1"/>
      <protection locked="0" hidden="0"/>
    </xf>
    <xf numFmtId="0" fontId="11" fillId="6" borderId="4" applyAlignment="1" applyProtection="1" pivotButton="0" quotePrefix="0" xfId="0">
      <alignment horizontal="left" vertical="center" wrapText="1"/>
      <protection locked="0" hidden="0"/>
    </xf>
    <xf numFmtId="0" fontId="9" fillId="7" borderId="3" applyAlignment="1" applyProtection="1" pivotButton="0" quotePrefix="0" xfId="0">
      <alignment horizontal="left" vertical="center" indent="1"/>
      <protection locked="0" hidden="0"/>
    </xf>
    <xf numFmtId="0" fontId="9" fillId="8" borderId="3" applyAlignment="1" applyProtection="1" pivotButton="0" quotePrefix="0" xfId="0">
      <alignment horizontal="left" vertical="center" indent="1"/>
      <protection locked="0" hidden="0"/>
    </xf>
    <xf numFmtId="0" fontId="7" fillId="0" borderId="0" applyAlignment="1" applyProtection="1" pivotButton="0" quotePrefix="0" xfId="0">
      <alignment horizontal="left" vertical="center"/>
      <protection locked="0" hidden="0"/>
    </xf>
    <xf numFmtId="0" fontId="4" fillId="2" borderId="1" applyAlignment="1" applyProtection="1" pivotButton="0" quotePrefix="0" xfId="0">
      <alignment horizontal="general" vertical="bottom"/>
      <protection locked="0" hidden="0"/>
    </xf>
    <xf numFmtId="0" fontId="5" fillId="2" borderId="1" applyAlignment="1" applyProtection="1" pivotButton="0" quotePrefix="0" xfId="0">
      <alignment horizontal="left" vertical="center" indent="1"/>
      <protection locked="0" hidden="0"/>
    </xf>
    <xf numFmtId="0" fontId="4" fillId="0" borderId="0" applyAlignment="1" applyProtection="1" pivotButton="0" quotePrefix="0" xfId="0">
      <alignment horizontal="general" vertical="bottom"/>
      <protection locked="0" hidden="0"/>
    </xf>
    <xf numFmtId="0" fontId="4" fillId="3" borderId="2" applyAlignment="1" applyProtection="1" pivotButton="0" quotePrefix="0" xfId="0">
      <alignment horizontal="general" vertical="bottom"/>
      <protection locked="0" hidden="0"/>
    </xf>
    <xf numFmtId="0" fontId="7" fillId="3" borderId="2" applyAlignment="1" applyProtection="1" pivotButton="0" quotePrefix="0" xfId="0">
      <alignment horizontal="left" vertical="center"/>
      <protection locked="0" hidden="0"/>
    </xf>
    <xf numFmtId="0" fontId="4" fillId="4" borderId="0" applyAlignment="1" applyProtection="1" pivotButton="0" quotePrefix="0" xfId="0">
      <alignment horizontal="general" vertical="bottom"/>
      <protection locked="0" hidden="0"/>
    </xf>
    <xf numFmtId="0" fontId="9" fillId="4" borderId="5" applyAlignment="1" applyProtection="1" pivotButton="0" quotePrefix="0" xfId="0">
      <alignment horizontal="center" vertical="center" wrapText="1"/>
      <protection locked="0" hidden="0"/>
    </xf>
    <xf numFmtId="0" fontId="9" fillId="9" borderId="5" applyAlignment="1" applyProtection="1" pivotButton="0" quotePrefix="0" xfId="0">
      <alignment horizontal="left" vertical="center"/>
      <protection locked="0" hidden="0"/>
    </xf>
    <xf numFmtId="0" fontId="9" fillId="7" borderId="5" applyAlignment="1" applyProtection="1" pivotButton="0" quotePrefix="0" xfId="0">
      <alignment horizontal="center" vertical="center" wrapText="1"/>
      <protection locked="0" hidden="0"/>
    </xf>
    <xf numFmtId="0" fontId="11" fillId="10" borderId="5" applyAlignment="1" applyProtection="1" pivotButton="0" quotePrefix="0" xfId="0">
      <alignment horizontal="left" vertical="center"/>
      <protection locked="0" hidden="0"/>
    </xf>
    <xf numFmtId="49" fontId="11" fillId="11" borderId="6" applyAlignment="1" applyProtection="1" pivotButton="0" quotePrefix="0" xfId="0">
      <alignment horizontal="left" vertical="center"/>
      <protection locked="0" hidden="0"/>
    </xf>
    <xf numFmtId="0" fontId="12" fillId="0" borderId="5" applyAlignment="1" applyProtection="1" pivotButton="0" quotePrefix="0" xfId="0">
      <alignment horizontal="left" vertical="center"/>
      <protection locked="0" hidden="0"/>
    </xf>
    <xf numFmtId="0" fontId="11" fillId="12" borderId="5" applyAlignment="1" applyProtection="1" pivotButton="0" quotePrefix="0" xfId="0">
      <alignment horizontal="left" vertical="center"/>
      <protection locked="0" hidden="0"/>
    </xf>
    <xf numFmtId="49" fontId="11" fillId="13" borderId="5" applyAlignment="1" applyProtection="1" pivotButton="0" quotePrefix="0" xfId="0">
      <alignment horizontal="center" vertical="center" wrapText="1"/>
      <protection locked="0" hidden="0"/>
    </xf>
    <xf numFmtId="0" fontId="13" fillId="0" borderId="5" applyAlignment="1" applyProtection="1" pivotButton="0" quotePrefix="0" xfId="0">
      <alignment horizontal="left" vertical="center"/>
      <protection locked="0" hidden="0"/>
    </xf>
    <xf numFmtId="0" fontId="11" fillId="3" borderId="5" applyAlignment="1" applyProtection="1" pivotButton="0" quotePrefix="0" xfId="0">
      <alignment horizontal="left" vertical="center"/>
      <protection locked="0" hidden="0"/>
    </xf>
    <xf numFmtId="1" fontId="11" fillId="11" borderId="6" applyAlignment="1" applyProtection="1" pivotButton="0" quotePrefix="0" xfId="0">
      <alignment horizontal="left" vertical="center"/>
      <protection locked="0" hidden="0"/>
    </xf>
    <xf numFmtId="0" fontId="11" fillId="10" borderId="5" applyAlignment="1" applyProtection="1" pivotButton="0" quotePrefix="0" xfId="0">
      <alignment horizontal="left" vertical="center" wrapText="1"/>
      <protection locked="0" hidden="0"/>
    </xf>
    <xf numFmtId="9" fontId="11" fillId="11" borderId="6" applyAlignment="1" applyProtection="1" pivotButton="0" quotePrefix="0" xfId="0">
      <alignment horizontal="left" vertical="center"/>
      <protection locked="0" hidden="0"/>
    </xf>
    <xf numFmtId="0" fontId="0" fillId="0" borderId="21" applyProtection="1" pivotButton="0" quotePrefix="0" xfId="0">
      <protection locked="0" hidden="0"/>
    </xf>
    <xf numFmtId="0" fontId="0" fillId="0" borderId="22" applyProtection="1" pivotButton="0" quotePrefix="0" xfId="0">
      <protection locked="0" hidden="0"/>
    </xf>
    <xf numFmtId="0" fontId="11" fillId="12" borderId="5" applyAlignment="1" applyProtection="1" pivotButton="0" quotePrefix="0" xfId="0">
      <alignment horizontal="left" vertical="center" wrapText="1"/>
      <protection locked="0" hidden="0"/>
    </xf>
    <xf numFmtId="164" fontId="11" fillId="11" borderId="6" applyAlignment="1" applyProtection="1" pivotButton="0" quotePrefix="0" xfId="0">
      <alignment horizontal="left" vertical="center"/>
      <protection locked="0" hidden="0"/>
    </xf>
    <xf numFmtId="0" fontId="14" fillId="4" borderId="7" applyAlignment="1" applyProtection="1" pivotButton="0" quotePrefix="0" xfId="0">
      <alignment horizontal="center" vertical="center" wrapText="1"/>
      <protection locked="0" hidden="0"/>
    </xf>
    <xf numFmtId="0" fontId="0" fillId="0" borderId="9" applyProtection="1" pivotButton="0" quotePrefix="0" xfId="0">
      <protection locked="0" hidden="0"/>
    </xf>
    <xf numFmtId="0" fontId="0" fillId="0" borderId="8" applyProtection="1" pivotButton="0" quotePrefix="0" xfId="0">
      <protection locked="0" hidden="0"/>
    </xf>
    <xf numFmtId="0" fontId="15" fillId="10" borderId="7" applyAlignment="1" applyProtection="1" pivotButton="0" quotePrefix="0" xfId="0">
      <alignment horizontal="left" vertical="center" wrapText="1"/>
      <protection locked="0" hidden="0"/>
    </xf>
    <xf numFmtId="0" fontId="16" fillId="10" borderId="7" applyAlignment="1" applyProtection="1" pivotButton="0" quotePrefix="0" xfId="0">
      <alignment horizontal="left" vertical="center" wrapText="1"/>
      <protection locked="0" hidden="0"/>
    </xf>
    <xf numFmtId="0" fontId="17" fillId="5" borderId="7" applyAlignment="1" applyProtection="1" pivotButton="0" quotePrefix="0" xfId="0">
      <alignment horizontal="left" vertical="center"/>
      <protection locked="0" hidden="0"/>
    </xf>
    <xf numFmtId="0" fontId="16" fillId="5" borderId="7" applyAlignment="1" applyProtection="1" pivotButton="0" quotePrefix="0" xfId="0">
      <alignment horizontal="left" vertical="center" wrapText="1"/>
      <protection locked="0" hidden="0"/>
    </xf>
    <xf numFmtId="0" fontId="17" fillId="10" borderId="7" applyAlignment="1" applyProtection="1" pivotButton="0" quotePrefix="0" xfId="0">
      <alignment horizontal="left" vertical="center"/>
      <protection locked="0" hidden="0"/>
    </xf>
    <xf numFmtId="0" fontId="17" fillId="5" borderId="7" applyAlignment="1" applyProtection="1" pivotButton="0" quotePrefix="0" xfId="0">
      <alignment horizontal="left" vertical="center" wrapText="1"/>
      <protection locked="0" hidden="0"/>
    </xf>
    <xf numFmtId="0" fontId="7" fillId="5" borderId="7" applyAlignment="1" applyProtection="1" pivotButton="0" quotePrefix="0" xfId="0">
      <alignment horizontal="left" vertical="center" wrapText="1"/>
      <protection locked="0" hidden="0"/>
    </xf>
    <xf numFmtId="0" fontId="17" fillId="10" borderId="4" applyAlignment="1" applyProtection="1" pivotButton="0" quotePrefix="0" xfId="0">
      <alignment horizontal="left" vertical="center"/>
      <protection locked="0" hidden="0"/>
    </xf>
    <xf numFmtId="0" fontId="16" fillId="10" borderId="4" applyAlignment="1" applyProtection="1" pivotButton="0" quotePrefix="0" xfId="0">
      <alignment horizontal="left" vertical="center" wrapText="1"/>
      <protection locked="0" hidden="0"/>
    </xf>
    <xf numFmtId="0" fontId="0" fillId="0" borderId="8" applyAlignment="1" applyProtection="1" pivotButton="0" quotePrefix="0" xfId="0">
      <alignment horizontal="general" vertical="bottom"/>
      <protection locked="0" hidden="0"/>
    </xf>
    <xf numFmtId="0" fontId="0" fillId="0" borderId="9" applyAlignment="1" applyProtection="1" pivotButton="0" quotePrefix="0" xfId="0">
      <alignment horizontal="general" vertical="bottom"/>
      <protection locked="0" hidden="0"/>
    </xf>
    <xf numFmtId="0" fontId="0" fillId="0" borderId="0" applyAlignment="1" applyProtection="1" pivotButton="0" quotePrefix="0" xfId="0">
      <alignment horizontal="general" vertical="bottom"/>
      <protection locked="0" hidden="0"/>
    </xf>
    <xf numFmtId="0" fontId="0" fillId="3" borderId="10" applyAlignment="1" applyProtection="1" pivotButton="0" quotePrefix="0" xfId="0">
      <alignment horizontal="general" vertical="bottom"/>
      <protection locked="0" hidden="0"/>
    </xf>
    <xf numFmtId="0" fontId="7" fillId="3" borderId="0" applyAlignment="1" applyProtection="1" pivotButton="0" quotePrefix="0" xfId="0">
      <alignment horizontal="left" vertical="center"/>
      <protection locked="0" hidden="0"/>
    </xf>
    <xf numFmtId="0" fontId="14" fillId="4" borderId="3" applyAlignment="1" applyProtection="1" pivotButton="0" quotePrefix="0" xfId="0">
      <alignment horizontal="center" vertical="center" wrapText="1"/>
      <protection locked="0" hidden="0"/>
    </xf>
    <xf numFmtId="0" fontId="0" fillId="0" borderId="3" applyAlignment="1" applyProtection="1" pivotButton="0" quotePrefix="0" xfId="0">
      <alignment horizontal="general" vertical="bottom"/>
      <protection locked="0" hidden="0"/>
    </xf>
    <xf numFmtId="0" fontId="14" fillId="7" borderId="0" applyAlignment="1" applyProtection="1" pivotButton="0" quotePrefix="0" xfId="0">
      <alignment horizontal="center" vertical="center" wrapText="1"/>
      <protection locked="0" hidden="0"/>
    </xf>
    <xf numFmtId="0" fontId="11" fillId="12" borderId="0" applyAlignment="1" applyProtection="1" pivotButton="0" quotePrefix="0" xfId="0">
      <alignment horizontal="left" vertical="center" wrapText="1"/>
      <protection locked="0" hidden="0"/>
    </xf>
    <xf numFmtId="49" fontId="0" fillId="11" borderId="6" applyAlignment="1" applyProtection="1" pivotButton="0" quotePrefix="0" xfId="0">
      <alignment horizontal="center" vertical="bottom"/>
      <protection locked="0" hidden="0"/>
    </xf>
    <xf numFmtId="0" fontId="16" fillId="0" borderId="0" applyAlignment="1" applyProtection="1" pivotButton="0" quotePrefix="0" xfId="0">
      <alignment horizontal="general" vertical="bottom"/>
      <protection locked="0" hidden="0"/>
    </xf>
    <xf numFmtId="9" fontId="0" fillId="11" borderId="6" applyAlignment="1" applyProtection="1" pivotButton="0" quotePrefix="0" xfId="0">
      <alignment horizontal="center" vertical="bottom"/>
      <protection locked="0" hidden="0"/>
    </xf>
    <xf numFmtId="0" fontId="11" fillId="14" borderId="4" applyAlignment="1" applyProtection="1" pivotButton="0" quotePrefix="0" xfId="0">
      <alignment horizontal="left" vertical="center"/>
      <protection locked="0" hidden="0"/>
    </xf>
    <xf numFmtId="0" fontId="11" fillId="14" borderId="7" applyAlignment="1" applyProtection="1" pivotButton="0" quotePrefix="0" xfId="0">
      <alignment horizontal="left" vertical="center"/>
      <protection locked="0" hidden="0"/>
    </xf>
    <xf numFmtId="0" fontId="7" fillId="14" borderId="4" applyAlignment="1" applyProtection="1" pivotButton="0" quotePrefix="0" xfId="0">
      <alignment horizontal="left" vertical="center"/>
      <protection locked="0" hidden="0"/>
    </xf>
    <xf numFmtId="0" fontId="0" fillId="11" borderId="6" applyAlignment="1" applyProtection="1" pivotButton="0" quotePrefix="0" xfId="0">
      <alignment horizontal="center" vertical="bottom"/>
      <protection locked="0" hidden="0"/>
    </xf>
    <xf numFmtId="0" fontId="0" fillId="0" borderId="10" applyProtection="1" pivotButton="0" quotePrefix="0" xfId="0">
      <protection locked="0" hidden="0"/>
    </xf>
    <xf numFmtId="0" fontId="14" fillId="4" borderId="3" applyAlignment="1" applyProtection="1" pivotButton="0" quotePrefix="0" xfId="0">
      <alignment horizontal="left" vertical="center" indent="1"/>
      <protection locked="0" hidden="0"/>
    </xf>
    <xf numFmtId="0" fontId="0" fillId="0" borderId="3" applyProtection="1" pivotButton="0" quotePrefix="0" xfId="0">
      <protection locked="0" hidden="0"/>
    </xf>
    <xf numFmtId="0" fontId="18" fillId="11" borderId="6" applyAlignment="1" applyProtection="1" pivotButton="0" quotePrefix="0" xfId="0">
      <alignment horizontal="center" vertical="center"/>
      <protection locked="0" hidden="0"/>
    </xf>
    <xf numFmtId="0" fontId="19" fillId="14" borderId="7" applyAlignment="1" applyProtection="1" pivotButton="0" quotePrefix="0" xfId="0">
      <alignment horizontal="left" vertical="center"/>
      <protection locked="0" hidden="0"/>
    </xf>
    <xf numFmtId="0" fontId="20" fillId="14" borderId="4" applyAlignment="1" applyProtection="1" pivotButton="0" quotePrefix="0" xfId="0">
      <alignment horizontal="left" vertical="center"/>
      <protection locked="0" hidden="0"/>
    </xf>
    <xf numFmtId="0" fontId="18" fillId="15" borderId="7" applyAlignment="1" applyProtection="1" pivotButton="0" quotePrefix="0" xfId="0">
      <alignment horizontal="center" vertical="center"/>
      <protection locked="0" hidden="0"/>
    </xf>
    <xf numFmtId="0" fontId="21" fillId="4" borderId="7" applyAlignment="1" applyProtection="1" pivotButton="0" quotePrefix="0" xfId="0">
      <alignment horizontal="center" vertical="center"/>
      <protection locked="0" hidden="0"/>
    </xf>
    <xf numFmtId="0" fontId="18" fillId="5" borderId="7" applyAlignment="1" applyProtection="1" pivotButton="0" quotePrefix="0" xfId="0">
      <alignment horizontal="center" vertical="center"/>
      <protection locked="0" hidden="0"/>
    </xf>
    <xf numFmtId="0" fontId="21" fillId="7" borderId="7" applyAlignment="1" applyProtection="1" pivotButton="0" quotePrefix="0" xfId="0">
      <alignment horizontal="center" vertical="center"/>
      <protection locked="0" hidden="0"/>
    </xf>
    <xf numFmtId="0" fontId="9" fillId="16" borderId="5" applyAlignment="1" applyProtection="1" pivotButton="0" quotePrefix="0" xfId="0">
      <alignment horizontal="center" vertical="center" wrapText="1"/>
      <protection locked="0" hidden="0"/>
    </xf>
    <xf numFmtId="164" fontId="11" fillId="13" borderId="5" applyAlignment="1" applyProtection="1" pivotButton="0" quotePrefix="0" xfId="0">
      <alignment horizontal="right" vertical="center"/>
      <protection locked="0" hidden="0"/>
    </xf>
    <xf numFmtId="0" fontId="12" fillId="12" borderId="5" applyAlignment="1" applyProtection="1" pivotButton="0" quotePrefix="0" xfId="0">
      <alignment horizontal="left" vertical="center"/>
      <protection locked="0" hidden="0"/>
    </xf>
    <xf numFmtId="165" fontId="11" fillId="13" borderId="5" applyAlignment="1" applyProtection="1" pivotButton="0" quotePrefix="0" xfId="0">
      <alignment horizontal="right" vertical="center"/>
      <protection locked="0" hidden="0"/>
    </xf>
    <xf numFmtId="0" fontId="12" fillId="3" borderId="5" applyAlignment="1" applyProtection="1" pivotButton="0" quotePrefix="0" xfId="0">
      <alignment horizontal="left" vertical="center"/>
      <protection locked="0" hidden="0"/>
    </xf>
    <xf numFmtId="0" fontId="11" fillId="3" borderId="5" applyAlignment="1" applyProtection="1" pivotButton="0" quotePrefix="0" xfId="0">
      <alignment horizontal="left" vertical="center" wrapText="1"/>
      <protection locked="0" hidden="0"/>
    </xf>
    <xf numFmtId="166" fontId="11" fillId="13" borderId="5" applyAlignment="1" applyProtection="1" pivotButton="0" quotePrefix="0" xfId="0">
      <alignment horizontal="right" vertical="center"/>
      <protection locked="0" hidden="0"/>
    </xf>
    <xf numFmtId="0" fontId="22" fillId="5" borderId="5" applyAlignment="1" applyProtection="1" pivotButton="0" quotePrefix="0" xfId="0">
      <alignment horizontal="left" vertical="center"/>
      <protection locked="0" hidden="0"/>
    </xf>
    <xf numFmtId="165" fontId="22" fillId="5" borderId="5" applyAlignment="1" applyProtection="1" pivotButton="0" quotePrefix="0" xfId="0">
      <alignment horizontal="right" vertical="center"/>
      <protection locked="0" hidden="0"/>
    </xf>
    <xf numFmtId="165" fontId="11" fillId="11" borderId="6" applyAlignment="1" applyProtection="1" pivotButton="0" quotePrefix="0" xfId="0">
      <alignment horizontal="right" vertical="center"/>
      <protection locked="0" hidden="0"/>
    </xf>
    <xf numFmtId="0" fontId="9" fillId="9" borderId="5" applyAlignment="1" applyProtection="1" pivotButton="0" quotePrefix="0" xfId="0">
      <alignment horizontal="left" vertical="center" wrapText="1"/>
      <protection locked="0" hidden="0"/>
    </xf>
    <xf numFmtId="0" fontId="22" fillId="0" borderId="5" applyAlignment="1" applyProtection="1" pivotButton="0" quotePrefix="0" xfId="0">
      <alignment horizontal="left" vertical="center"/>
      <protection locked="0" hidden="0"/>
    </xf>
    <xf numFmtId="165" fontId="22" fillId="13" borderId="5" applyAlignment="1" applyProtection="1" pivotButton="0" quotePrefix="0" xfId="0">
      <alignment horizontal="right" vertical="center"/>
      <protection locked="0" hidden="0"/>
    </xf>
    <xf numFmtId="0" fontId="14" fillId="7" borderId="5" applyAlignment="1" applyProtection="1" pivotButton="0" quotePrefix="0" xfId="0">
      <alignment horizontal="center" vertical="center" wrapText="1"/>
      <protection locked="0" hidden="0"/>
    </xf>
    <xf numFmtId="0" fontId="14" fillId="4" borderId="5" applyAlignment="1" applyProtection="1" pivotButton="0" quotePrefix="0" xfId="0">
      <alignment horizontal="center" vertical="center" wrapText="1"/>
      <protection locked="0" hidden="0"/>
    </xf>
    <xf numFmtId="0" fontId="0" fillId="0" borderId="5" applyAlignment="1" applyProtection="1" pivotButton="0" quotePrefix="0" xfId="0">
      <alignment horizontal="general" vertical="bottom"/>
      <protection locked="0" hidden="0"/>
    </xf>
    <xf numFmtId="0" fontId="23" fillId="7" borderId="5" applyAlignment="1" applyProtection="1" pivotButton="0" quotePrefix="0" xfId="0">
      <alignment horizontal="center" vertical="center" wrapText="1"/>
      <protection locked="0" hidden="0"/>
    </xf>
    <xf numFmtId="0" fontId="24" fillId="5" borderId="5" applyAlignment="1" applyProtection="1" pivotButton="0" quotePrefix="0" xfId="0">
      <alignment horizontal="center" vertical="center" wrapText="1"/>
      <protection locked="0" hidden="0"/>
    </xf>
    <xf numFmtId="0" fontId="25" fillId="13" borderId="5" applyAlignment="1" applyProtection="1" pivotButton="0" quotePrefix="0" xfId="0">
      <alignment horizontal="center" vertical="center" wrapText="1"/>
      <protection locked="0" hidden="0"/>
    </xf>
    <xf numFmtId="0" fontId="22" fillId="5" borderId="5" applyAlignment="1" applyProtection="1" pivotButton="0" quotePrefix="0" xfId="0">
      <alignment horizontal="left" vertical="center" wrapText="1"/>
      <protection locked="0" hidden="0"/>
    </xf>
    <xf numFmtId="0" fontId="0" fillId="0" borderId="1" applyAlignment="1" applyProtection="1" pivotButton="0" quotePrefix="0" xfId="0">
      <alignment horizontal="general" vertical="bottom"/>
      <protection locked="0" hidden="0"/>
    </xf>
    <xf numFmtId="0" fontId="0" fillId="0" borderId="2" applyAlignment="1" applyProtection="1" pivotButton="0" quotePrefix="0" xfId="0">
      <alignment horizontal="general" vertical="bottom"/>
      <protection locked="0" hidden="0"/>
    </xf>
    <xf numFmtId="0" fontId="14" fillId="7" borderId="7" applyAlignment="1" applyProtection="1" pivotButton="0" quotePrefix="0" xfId="0">
      <alignment horizontal="center" vertical="center" wrapText="1"/>
      <protection locked="0" hidden="0"/>
    </xf>
    <xf numFmtId="0" fontId="14" fillId="4" borderId="4" applyAlignment="1" applyProtection="1" pivotButton="0" quotePrefix="0" xfId="0">
      <alignment horizontal="center" vertical="center" wrapText="1"/>
      <protection locked="0" hidden="0"/>
    </xf>
    <xf numFmtId="0" fontId="0" fillId="4" borderId="3" applyAlignment="1" applyProtection="1" pivotButton="0" quotePrefix="0" xfId="0">
      <alignment horizontal="general" vertical="bottom"/>
      <protection locked="0" hidden="0"/>
    </xf>
    <xf numFmtId="0" fontId="11" fillId="14" borderId="7" applyAlignment="1" applyProtection="1" pivotButton="0" quotePrefix="0" xfId="0">
      <alignment horizontal="left" vertical="center" wrapText="1"/>
      <protection locked="0" hidden="0"/>
    </xf>
    <xf numFmtId="165" fontId="0" fillId="11" borderId="6" applyAlignment="1" applyProtection="1" pivotButton="0" quotePrefix="0" xfId="0">
      <alignment horizontal="right" vertical="center"/>
      <protection locked="0" hidden="0"/>
    </xf>
    <xf numFmtId="165" fontId="11" fillId="15" borderId="7" applyAlignment="1" applyProtection="1" pivotButton="0" quotePrefix="0" xfId="0">
      <alignment horizontal="right" vertical="center"/>
      <protection locked="0" hidden="0"/>
    </xf>
    <xf numFmtId="0" fontId="0" fillId="14" borderId="0" applyAlignment="1" applyProtection="1" pivotButton="0" quotePrefix="0" xfId="0">
      <alignment horizontal="general" vertical="bottom"/>
      <protection locked="0" hidden="0"/>
    </xf>
    <xf numFmtId="0" fontId="26" fillId="14" borderId="7" applyAlignment="1" applyProtection="1" pivotButton="0" quotePrefix="0" xfId="0">
      <alignment horizontal="left" vertical="center" wrapText="1"/>
      <protection locked="0" hidden="0"/>
    </xf>
    <xf numFmtId="0" fontId="11" fillId="3" borderId="7" applyAlignment="1" applyProtection="1" pivotButton="0" quotePrefix="0" xfId="0">
      <alignment horizontal="left" vertical="center" wrapText="1"/>
      <protection locked="0" hidden="0"/>
    </xf>
    <xf numFmtId="0" fontId="0" fillId="3" borderId="0" applyAlignment="1" applyProtection="1" pivotButton="0" quotePrefix="0" xfId="0">
      <alignment horizontal="general" vertical="bottom"/>
      <protection locked="0" hidden="0"/>
    </xf>
    <xf numFmtId="0" fontId="26" fillId="3" borderId="7" applyAlignment="1" applyProtection="1" pivotButton="0" quotePrefix="0" xfId="0">
      <alignment horizontal="left" vertical="center" wrapText="1"/>
      <protection locked="0" hidden="0"/>
    </xf>
    <xf numFmtId="0" fontId="0" fillId="3" borderId="11" applyAlignment="1" applyProtection="1" pivotButton="0" quotePrefix="0" xfId="0">
      <alignment horizontal="general" vertical="bottom"/>
      <protection locked="0" hidden="0"/>
    </xf>
    <xf numFmtId="0" fontId="14" fillId="7" borderId="3" applyAlignment="1" applyProtection="1" pivotButton="0" quotePrefix="0" xfId="0">
      <alignment horizontal="left" vertical="center" indent="1"/>
      <protection locked="0" hidden="0"/>
    </xf>
    <xf numFmtId="49" fontId="27" fillId="11" borderId="6" applyAlignment="1" applyProtection="1" pivotButton="0" quotePrefix="0" xfId="0">
      <alignment horizontal="left" vertical="center"/>
      <protection locked="0" hidden="0"/>
    </xf>
    <xf numFmtId="165" fontId="11" fillId="15" borderId="4" applyAlignment="1" applyProtection="1" pivotButton="0" quotePrefix="0" xfId="0">
      <alignment horizontal="right" vertical="center"/>
      <protection locked="0" hidden="0"/>
    </xf>
    <xf numFmtId="0" fontId="22" fillId="5" borderId="7" applyAlignment="1" applyProtection="1" pivotButton="0" quotePrefix="0" xfId="0">
      <alignment horizontal="left" vertical="center" wrapText="1"/>
      <protection locked="0" hidden="0"/>
    </xf>
    <xf numFmtId="165" fontId="22" fillId="5" borderId="7" applyAlignment="1" applyProtection="1" pivotButton="0" quotePrefix="0" xfId="0">
      <alignment horizontal="right" vertical="center"/>
      <protection locked="0" hidden="0"/>
    </xf>
    <xf numFmtId="165" fontId="22" fillId="5" borderId="4" applyAlignment="1" applyProtection="1" pivotButton="0" quotePrefix="0" xfId="0">
      <alignment horizontal="right" vertical="center"/>
      <protection locked="0" hidden="0"/>
    </xf>
    <xf numFmtId="0" fontId="28" fillId="5" borderId="7" applyAlignment="1" applyProtection="1" pivotButton="0" quotePrefix="0" xfId="0">
      <alignment horizontal="left" vertical="center" wrapText="1"/>
      <protection locked="0" hidden="0"/>
    </xf>
    <xf numFmtId="165" fontId="28" fillId="5" borderId="12" applyAlignment="1" applyProtection="1" pivotButton="0" quotePrefix="0" xfId="0">
      <alignment horizontal="right" vertical="center"/>
      <protection locked="0" hidden="0"/>
    </xf>
    <xf numFmtId="0" fontId="0" fillId="0" borderId="12" applyProtection="1" pivotButton="0" quotePrefix="0" xfId="0">
      <protection locked="0" hidden="0"/>
    </xf>
    <xf numFmtId="0" fontId="0" fillId="3" borderId="1" applyAlignment="1" applyProtection="1" pivotButton="0" quotePrefix="0" xfId="0">
      <alignment horizontal="general" vertical="bottom"/>
      <protection locked="0" hidden="0"/>
    </xf>
    <xf numFmtId="0" fontId="0" fillId="7" borderId="13" applyAlignment="1" applyProtection="1" pivotButton="0" quotePrefix="0" xfId="0">
      <alignment horizontal="general" vertical="bottom"/>
      <protection locked="0" hidden="0"/>
    </xf>
    <xf numFmtId="0" fontId="29" fillId="4" borderId="7" applyAlignment="1" applyProtection="1" pivotButton="0" quotePrefix="0" xfId="0">
      <alignment horizontal="left" vertical="center" wrapText="1"/>
      <protection locked="0" hidden="0"/>
    </xf>
    <xf numFmtId="165" fontId="29" fillId="4" borderId="14" applyAlignment="1" applyProtection="1" pivotButton="0" quotePrefix="0" xfId="0">
      <alignment horizontal="right" vertical="center"/>
      <protection locked="0" hidden="0"/>
    </xf>
    <xf numFmtId="165" fontId="29" fillId="4" borderId="15" applyAlignment="1" applyProtection="1" pivotButton="0" quotePrefix="0" xfId="0">
      <alignment horizontal="right" vertical="center"/>
      <protection locked="0" hidden="0"/>
    </xf>
    <xf numFmtId="0" fontId="0" fillId="0" borderId="26" applyProtection="1" pivotButton="0" quotePrefix="0" xfId="0">
      <protection locked="0" hidden="0"/>
    </xf>
    <xf numFmtId="0" fontId="0" fillId="0" borderId="16" applyAlignment="1" applyProtection="1" pivotButton="0" quotePrefix="0" xfId="0">
      <alignment horizontal="general" vertical="bottom"/>
      <protection locked="0" hidden="0"/>
    </xf>
    <xf numFmtId="0" fontId="14" fillId="8" borderId="3" applyAlignment="1" applyProtection="1" pivotButton="0" quotePrefix="0" xfId="0">
      <alignment horizontal="left" vertical="center" indent="1"/>
      <protection locked="0" hidden="0"/>
    </xf>
    <xf numFmtId="0" fontId="0" fillId="8" borderId="3" applyAlignment="1" applyProtection="1" pivotButton="0" quotePrefix="0" xfId="0">
      <alignment horizontal="general" vertical="bottom"/>
      <protection locked="0" hidden="0"/>
    </xf>
    <xf numFmtId="164" fontId="11" fillId="15" borderId="7" applyAlignment="1" applyProtection="1" pivotButton="0" quotePrefix="0" xfId="0">
      <alignment horizontal="right" vertical="center"/>
      <protection locked="0" hidden="0"/>
    </xf>
    <xf numFmtId="164" fontId="11" fillId="15" borderId="4" applyAlignment="1" applyProtection="1" pivotButton="0" quotePrefix="0" xfId="0">
      <alignment horizontal="right" vertical="center"/>
      <protection locked="0" hidden="0"/>
    </xf>
    <xf numFmtId="0" fontId="11" fillId="15" borderId="7" applyAlignment="1" applyProtection="1" pivotButton="0" quotePrefix="0" xfId="0">
      <alignment horizontal="right" vertical="center"/>
      <protection locked="0" hidden="0"/>
    </xf>
    <xf numFmtId="0" fontId="11" fillId="15" borderId="4" applyAlignment="1" applyProtection="1" pivotButton="0" quotePrefix="0" xfId="0">
      <alignment horizontal="right" vertical="center"/>
      <protection locked="0" hidden="0"/>
    </xf>
    <xf numFmtId="0" fontId="19" fillId="3" borderId="7" applyAlignment="1" applyProtection="1" pivotButton="0" quotePrefix="0" xfId="0">
      <alignment horizontal="left" vertical="center" wrapText="1"/>
      <protection locked="0" hidden="0"/>
    </xf>
    <xf numFmtId="0" fontId="20" fillId="3" borderId="4" applyAlignment="1" applyProtection="1" pivotButton="0" quotePrefix="0" xfId="0">
      <alignment horizontal="left" vertical="center" wrapText="1"/>
      <protection locked="0" hidden="0"/>
    </xf>
    <xf numFmtId="0" fontId="19" fillId="14" borderId="7" applyAlignment="1" applyProtection="1" pivotButton="0" quotePrefix="0" xfId="0">
      <alignment horizontal="left" vertical="center" wrapText="1"/>
      <protection locked="0" hidden="0"/>
    </xf>
    <xf numFmtId="0" fontId="20" fillId="14" borderId="4" applyAlignment="1" applyProtection="1" pivotButton="0" quotePrefix="0" xfId="0">
      <alignment horizontal="left" vertical="center" wrapText="1"/>
      <protection locked="0" hidden="0"/>
    </xf>
    <xf numFmtId="0" fontId="23" fillId="4" borderId="5" applyAlignment="1" applyProtection="1" pivotButton="0" quotePrefix="0" xfId="0">
      <alignment horizontal="center" vertical="center" wrapText="1"/>
      <protection locked="0" hidden="0"/>
    </xf>
    <xf numFmtId="0" fontId="14" fillId="9" borderId="5" applyAlignment="1" applyProtection="1" pivotButton="0" quotePrefix="0" xfId="0">
      <alignment horizontal="center" vertical="center" wrapText="1"/>
      <protection locked="0" hidden="0"/>
    </xf>
    <xf numFmtId="0" fontId="17" fillId="10" borderId="7" applyAlignment="1" applyProtection="1" pivotButton="0" quotePrefix="0" xfId="0">
      <alignment horizontal="left" vertical="center" wrapText="1"/>
      <protection locked="0" hidden="0"/>
    </xf>
    <xf numFmtId="165" fontId="11" fillId="13" borderId="17" applyAlignment="1" applyProtection="1" pivotButton="0" quotePrefix="0" xfId="0">
      <alignment horizontal="right" vertical="center"/>
      <protection locked="0" hidden="0"/>
    </xf>
    <xf numFmtId="0" fontId="14" fillId="4" borderId="5" applyAlignment="1" applyProtection="1" pivotButton="0" quotePrefix="0" xfId="0">
      <alignment horizontal="general" vertical="bottom"/>
      <protection locked="0" hidden="0"/>
    </xf>
    <xf numFmtId="0" fontId="22" fillId="10" borderId="5" applyAlignment="1" applyProtection="1" pivotButton="0" quotePrefix="0" xfId="0">
      <alignment horizontal="left" vertical="center"/>
      <protection locked="0" hidden="0"/>
    </xf>
    <xf numFmtId="165" fontId="22" fillId="10" borderId="5" applyAlignment="1" applyProtection="1" pivotButton="0" quotePrefix="0" xfId="0">
      <alignment horizontal="right" vertical="center"/>
      <protection locked="0" hidden="0"/>
    </xf>
    <xf numFmtId="0" fontId="22" fillId="12" borderId="5" applyAlignment="1" applyProtection="1" pivotButton="0" quotePrefix="0" xfId="0">
      <alignment horizontal="left" vertical="center"/>
      <protection locked="0" hidden="0"/>
    </xf>
    <xf numFmtId="165" fontId="22" fillId="12" borderId="5" applyAlignment="1" applyProtection="1" pivotButton="0" quotePrefix="0" xfId="0">
      <alignment horizontal="right" vertical="center"/>
      <protection locked="0" hidden="0"/>
    </xf>
    <xf numFmtId="165" fontId="11" fillId="12" borderId="5" applyAlignment="1" applyProtection="1" pivotButton="0" quotePrefix="0" xfId="0">
      <alignment horizontal="right" vertical="center"/>
      <protection locked="0" hidden="0"/>
    </xf>
    <xf numFmtId="164" fontId="11" fillId="11" borderId="6" applyAlignment="1" applyProtection="1" pivotButton="0" quotePrefix="0" xfId="0">
      <alignment horizontal="right" vertical="center"/>
      <protection locked="0" hidden="0"/>
    </xf>
    <xf numFmtId="1" fontId="11" fillId="11" borderId="6" applyAlignment="1" applyProtection="1" pivotButton="0" quotePrefix="0" xfId="0">
      <alignment horizontal="right" vertical="center"/>
      <protection locked="0" hidden="0"/>
    </xf>
    <xf numFmtId="165" fontId="11" fillId="3" borderId="5" applyAlignment="1" applyProtection="1" pivotButton="0" quotePrefix="0" xfId="0">
      <alignment horizontal="right" vertical="center"/>
      <protection locked="0" hidden="0"/>
    </xf>
    <xf numFmtId="0" fontId="0" fillId="11" borderId="6" applyAlignment="1" applyProtection="1" pivotButton="0" quotePrefix="0" xfId="0">
      <alignment horizontal="general" vertical="bottom"/>
      <protection locked="0" hidden="0"/>
    </xf>
    <xf numFmtId="0" fontId="9" fillId="4" borderId="18" applyAlignment="1" applyProtection="1" pivotButton="0" quotePrefix="0" xfId="0">
      <alignment horizontal="center" vertical="center" wrapText="1"/>
      <protection locked="0" hidden="0"/>
    </xf>
    <xf numFmtId="0" fontId="0" fillId="0" borderId="28" applyProtection="1" pivotButton="0" quotePrefix="0" xfId="0">
      <protection locked="0" hidden="0"/>
    </xf>
    <xf numFmtId="0" fontId="22" fillId="3" borderId="5" applyAlignment="1" applyProtection="1" pivotButton="0" quotePrefix="0" xfId="0">
      <alignment horizontal="left" vertical="center"/>
      <protection locked="0" hidden="0"/>
    </xf>
    <xf numFmtId="0" fontId="22" fillId="12" borderId="5" applyAlignment="1" applyProtection="1" pivotButton="0" quotePrefix="0" xfId="0">
      <alignment horizontal="left" vertical="center" wrapText="1"/>
      <protection locked="0" hidden="0"/>
    </xf>
    <xf numFmtId="0" fontId="22" fillId="3" borderId="5" applyAlignment="1" applyProtection="1" pivotButton="0" quotePrefix="0" xfId="0">
      <alignment horizontal="left" vertical="center" wrapText="1"/>
      <protection locked="0" hidden="0"/>
    </xf>
    <xf numFmtId="49" fontId="11" fillId="11" borderId="6" applyAlignment="1" applyProtection="1" pivotButton="0" quotePrefix="0" xfId="0">
      <alignment horizontal="right" vertical="center"/>
      <protection locked="0" hidden="0"/>
    </xf>
    <xf numFmtId="167" fontId="11" fillId="13" borderId="5" applyAlignment="1" applyProtection="1" pivotButton="0" quotePrefix="0" xfId="0">
      <alignment horizontal="right" vertical="center"/>
      <protection locked="0" hidden="0"/>
    </xf>
    <xf numFmtId="49" fontId="11" fillId="12" borderId="5" applyAlignment="1" applyProtection="1" pivotButton="0" quotePrefix="0" xfId="0">
      <alignment horizontal="center" vertical="center" wrapText="1"/>
      <protection locked="0" hidden="0"/>
    </xf>
    <xf numFmtId="49" fontId="11" fillId="3" borderId="5" applyAlignment="1" applyProtection="1" pivotButton="0" quotePrefix="0" xfId="0">
      <alignment horizontal="center" vertical="center" wrapText="1"/>
      <protection locked="0" hidden="0"/>
    </xf>
    <xf numFmtId="1" fontId="11" fillId="13" borderId="5" applyAlignment="1" applyProtection="1" pivotButton="0" quotePrefix="0" xfId="0">
      <alignment horizontal="right" vertical="center"/>
      <protection locked="0" hidden="0"/>
    </xf>
    <xf numFmtId="165" fontId="22" fillId="5" borderId="0" applyAlignment="1" applyProtection="1" pivotButton="0" quotePrefix="0" xfId="0">
      <alignment horizontal="right" vertical="center"/>
      <protection locked="0" hidden="0"/>
    </xf>
    <xf numFmtId="165" fontId="30" fillId="5" borderId="0" applyAlignment="1" applyProtection="1" pivotButton="0" quotePrefix="0" xfId="0">
      <alignment horizontal="right" vertical="center"/>
      <protection locked="0" hidden="0"/>
    </xf>
    <xf numFmtId="0" fontId="31" fillId="3" borderId="5" applyAlignment="1" applyProtection="1" pivotButton="0" quotePrefix="0" xfId="0">
      <alignment horizontal="left" vertical="center"/>
      <protection locked="0" hidden="0"/>
    </xf>
    <xf numFmtId="49" fontId="11" fillId="3" borderId="5" applyAlignment="1" applyProtection="1" pivotButton="0" quotePrefix="0" xfId="0">
      <alignment horizontal="left" vertical="center"/>
      <protection locked="0" hidden="0"/>
    </xf>
    <xf numFmtId="49" fontId="7" fillId="11" borderId="6" applyAlignment="1" applyProtection="1" pivotButton="0" quotePrefix="0" xfId="0">
      <alignment horizontal="left" vertical="center"/>
      <protection locked="0" hidden="0"/>
    </xf>
    <xf numFmtId="0" fontId="31" fillId="12" borderId="5" applyAlignment="1" applyProtection="1" pivotButton="0" quotePrefix="0" xfId="0">
      <alignment horizontal="left" vertical="center"/>
      <protection locked="0" hidden="0"/>
    </xf>
    <xf numFmtId="49" fontId="11" fillId="12" borderId="5" applyAlignment="1" applyProtection="1" pivotButton="0" quotePrefix="0" xfId="0">
      <alignment horizontal="left" vertical="center"/>
      <protection locked="0" hidden="0"/>
    </xf>
    <xf numFmtId="49" fontId="7" fillId="15" borderId="7" applyAlignment="1" applyProtection="1" pivotButton="0" quotePrefix="0" xfId="0">
      <alignment horizontal="left" vertical="center"/>
      <protection locked="0" hidden="0"/>
    </xf>
    <xf numFmtId="0" fontId="7" fillId="10" borderId="7" applyAlignment="1" applyProtection="1" pivotButton="0" quotePrefix="0" xfId="0">
      <alignment horizontal="left" vertical="center" wrapText="1"/>
      <protection locked="0" hidden="0"/>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BF6EE"/>
      <rgbColor rgb="FFFF00FF"/>
      <rgbColor rgb="FF00FFFF"/>
      <rgbColor rgb="FF800000"/>
      <rgbColor rgb="FF008000"/>
      <rgbColor rgb="FF000080"/>
      <rgbColor rgb="FF808000"/>
      <rgbColor rgb="FF800080"/>
      <rgbColor rgb="FF2C5F4C"/>
      <rgbColor rgb="FFC0B8A8"/>
      <rgbColor rgb="FF888888"/>
      <rgbColor rgb="FFFAF7F2"/>
      <rgbColor rgb="FF5C4F3D"/>
      <rgbColor rgb="FFFEF8E7"/>
      <rgbColor rgb="FFF2F8F4"/>
      <rgbColor rgb="FF660066"/>
      <rgbColor rgb="FFFAFAFA"/>
      <rgbColor rgb="FF0066CC"/>
      <rgbColor rgb="FFD0D0D0"/>
      <rgbColor rgb="FF000080"/>
      <rgbColor rgb="FFFF00FF"/>
      <rgbColor rgb="FFF8F5F0"/>
      <rgbColor rgb="FF00FFFF"/>
      <rgbColor rgb="FF800080"/>
      <rgbColor rgb="FF800000"/>
      <rgbColor rgb="FF008080"/>
      <rgbColor rgb="FF0000FF"/>
      <rgbColor rgb="FF00CCFF"/>
      <rgbColor rgb="FFF4F9F5"/>
      <rgbColor rgb="FFF9F3E8"/>
      <rgbColor rgb="FFF5EDD6"/>
      <rgbColor rgb="FFE0D8CC"/>
      <rgbColor rgb="FFC8B078"/>
      <rgbColor rgb="FFE8E0D4"/>
      <rgbColor rgb="FFE8D8B0"/>
      <rgbColor rgb="FF3366FF"/>
      <rgbColor rgb="FF33CCCC"/>
      <rgbColor rgb="FF99CC00"/>
      <rgbColor rgb="FFEAE0D0"/>
      <rgbColor rgb="FFC8952A"/>
      <rgbColor rgb="FFF37B2D"/>
      <rgbColor rgb="FF555555"/>
      <rgbColor rgb="FF8A7D6B"/>
      <rgbColor rgb="FF2A1F0E"/>
      <rgbColor rgb="FF339966"/>
      <rgbColor rgb="FF1A1A1A"/>
      <rgbColor rgb="FF3A2A0A"/>
      <rgbColor rgb="FF6B2D2D"/>
      <rgbColor rgb="FF5A4A2A"/>
      <rgbColor rgb="FF333399"/>
      <rgbColor rgb="FF4A3A1A"/>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_rels/drawing4.xml.rels><Relationships xmlns="http://schemas.openxmlformats.org/package/2006/relationships"><Relationship Type="http://schemas.openxmlformats.org/officeDocument/2006/relationships/image" Target="/xl/media/image4.png" Id="rId1"/></Relationships>
</file>

<file path=xl/drawings/_rels/drawing5.xml.rels><Relationships xmlns="http://schemas.openxmlformats.org/package/2006/relationships"><Relationship Type="http://schemas.openxmlformats.org/officeDocument/2006/relationships/image" Target="/xl/media/image5.png" Id="rId1"/></Relationships>
</file>

<file path=xl/drawings/_rels/drawing6.xml.rels><Relationships xmlns="http://schemas.openxmlformats.org/package/2006/relationships"><Relationship Type="http://schemas.openxmlformats.org/officeDocument/2006/relationships/image" Target="/xl/media/image6.png" Id="rId1"/></Relationships>
</file>

<file path=xl/drawings/_rels/drawing7.xml.rels><Relationships xmlns="http://schemas.openxmlformats.org/package/2006/relationships"><Relationship Type="http://schemas.openxmlformats.org/officeDocument/2006/relationships/image" Target="/xl/media/image7.png" Id="rId1"/></Relationships>
</file>

<file path=xl/drawings/_rels/drawing8.xml.rels><Relationships xmlns="http://schemas.openxmlformats.org/package/2006/relationships"><Relationship Type="http://schemas.openxmlformats.org/officeDocument/2006/relationships/image" Target="/xl/media/image8.png" Id="rId1"/></Relationships>
</file>

<file path=xl/drawings/_rels/drawing9.xml.rels><Relationships xmlns="http://schemas.openxmlformats.org/package/2006/relationships"><Relationship Type="http://schemas.openxmlformats.org/officeDocument/2006/relationships/image" Target="/xl/media/image9.png" Id="rId1"/></Relationships>
</file>

<file path=xl/drawings/_rels/drawing10.xml.rels><Relationships xmlns="http://schemas.openxmlformats.org/package/2006/relationships"><Relationship Type="http://schemas.openxmlformats.org/officeDocument/2006/relationships/image" Target="/xl/media/image10.png" Id="rId1"/></Relationships>
</file>

<file path=xl/drawings/_rels/drawing11.xml.rels><Relationships xmlns="http://schemas.openxmlformats.org/package/2006/relationships"><Relationship Type="http://schemas.openxmlformats.org/officeDocument/2006/relationships/image" Target="/xl/media/image11.png" Id="rId1"/></Relationships>
</file>

<file path=xl/drawings/_rels/drawing12.xml.rels><Relationships xmlns="http://schemas.openxmlformats.org/package/2006/relationships"><Relationship Type="http://schemas.openxmlformats.org/officeDocument/2006/relationships/image" Target="/xl/media/image12.png" Id="rId1"/></Relationships>
</file>

<file path=xl/drawings/drawing1.xml><?xml version="1.0" encoding="utf-8"?>
<wsDr xmlns="http://schemas.openxmlformats.org/drawingml/2006/spreadsheetDrawing">
  <twoCellAnchor editAs="oneCell">
    <from>
      <col>0</col>
      <colOff>76320</colOff>
      <row>0</row>
      <rowOff>85680</rowOff>
    </from>
    <to>
      <col>1</col>
      <colOff>1880640</colOff>
      <row>1</row>
      <rowOff>21240</rowOff>
    </to>
    <pic>
      <nvPicPr>
        <cNvPr id="0" name="Image 1" descr="Picture"/>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76320" y="85680"/>
          <a:ext cx="1945440" cy="678600"/>
        </a:xfrm>
        <a:prstGeom xmlns:a="http://schemas.openxmlformats.org/drawingml/2006/main" prst="rect">
          <avLst/>
        </a:prstGeom>
        <a:ln xmlns:a="http://schemas.openxmlformats.org/drawingml/2006/main" w="0">
          <a:noFill/>
          <a:prstDash val="solid"/>
        </a:ln>
      </spPr>
    </pic>
    <clientData/>
  </twoCellAnchor>
</wsDr>
</file>

<file path=xl/drawings/drawing2.xml><?xml version="1.0" encoding="utf-8"?>
<wsDr xmlns="http://schemas.openxmlformats.org/drawingml/2006/spreadsheetDrawing">
  <twoCellAnchor editAs="oneCell">
    <from>
      <col>0</col>
      <colOff>76320</colOff>
      <row>0</row>
      <rowOff>85680</rowOff>
    </from>
    <to>
      <col>1</col>
      <colOff>1880640</colOff>
      <row>0</row>
      <rowOff>764280</rowOff>
    </to>
    <pic>
      <nvPicPr>
        <cNvPr id="1" name="Image 1" descr="Picture"/>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76320" y="85680"/>
          <a:ext cx="1945440" cy="678600"/>
        </a:xfrm>
        <a:prstGeom xmlns:a="http://schemas.openxmlformats.org/drawingml/2006/main" prst="rect">
          <avLst/>
        </a:prstGeom>
        <a:ln xmlns:a="http://schemas.openxmlformats.org/drawingml/2006/main" w="0">
          <a:noFill/>
          <a:prstDash val="solid"/>
        </a:ln>
      </spPr>
    </pic>
    <clientData/>
  </twoCellAnchor>
</wsDr>
</file>

<file path=xl/drawings/drawing3.xml><?xml version="1.0" encoding="utf-8"?>
<wsDr xmlns="http://schemas.openxmlformats.org/drawingml/2006/spreadsheetDrawing">
  <twoCellAnchor editAs="oneCell">
    <from>
      <col>0</col>
      <colOff>76320</colOff>
      <row>0</row>
      <rowOff>85680</rowOff>
    </from>
    <to>
      <col>1</col>
      <colOff>1880640</colOff>
      <row>0</row>
      <rowOff>764280</rowOff>
    </to>
    <pic>
      <nvPicPr>
        <cNvPr id="2" name="Image 1" descr="Picture"/>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76320" y="85680"/>
          <a:ext cx="1945440" cy="678600"/>
        </a:xfrm>
        <a:prstGeom xmlns:a="http://schemas.openxmlformats.org/drawingml/2006/main" prst="rect">
          <avLst/>
        </a:prstGeom>
        <a:ln xmlns:a="http://schemas.openxmlformats.org/drawingml/2006/main" w="0">
          <a:noFill/>
          <a:prstDash val="solid"/>
        </a:ln>
      </spPr>
    </pic>
    <clientData/>
  </twoCellAnchor>
</wsDr>
</file>

<file path=xl/drawings/drawing4.xml><?xml version="1.0" encoding="utf-8"?>
<wsDr xmlns="http://schemas.openxmlformats.org/drawingml/2006/spreadsheetDrawing">
  <twoCellAnchor editAs="oneCell">
    <from>
      <col>0</col>
      <colOff>76320</colOff>
      <row>0</row>
      <rowOff>85680</rowOff>
    </from>
    <to>
      <col>1</col>
      <colOff>1880640</colOff>
      <row>0</row>
      <rowOff>764280</rowOff>
    </to>
    <pic>
      <nvPicPr>
        <cNvPr id="3" name="Image 1" descr="Picture"/>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76320" y="85680"/>
          <a:ext cx="1945440" cy="678600"/>
        </a:xfrm>
        <a:prstGeom xmlns:a="http://schemas.openxmlformats.org/drawingml/2006/main" prst="rect">
          <avLst/>
        </a:prstGeom>
        <a:ln xmlns:a="http://schemas.openxmlformats.org/drawingml/2006/main" w="0">
          <a:noFill/>
          <a:prstDash val="solid"/>
        </a:ln>
      </spPr>
    </pic>
    <clientData/>
  </twoCellAnchor>
</wsDr>
</file>

<file path=xl/drawings/drawing5.xml><?xml version="1.0" encoding="utf-8"?>
<wsDr xmlns="http://schemas.openxmlformats.org/drawingml/2006/spreadsheetDrawing">
  <twoCellAnchor editAs="oneCell">
    <from>
      <col>0</col>
      <colOff>76320</colOff>
      <row>0</row>
      <rowOff>85680</rowOff>
    </from>
    <to>
      <col>1</col>
      <colOff>1880640</colOff>
      <row>0</row>
      <rowOff>764280</rowOff>
    </to>
    <pic>
      <nvPicPr>
        <cNvPr id="4" name="Image 1" descr="Picture"/>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76320" y="85680"/>
          <a:ext cx="1945440" cy="678600"/>
        </a:xfrm>
        <a:prstGeom xmlns:a="http://schemas.openxmlformats.org/drawingml/2006/main" prst="rect">
          <avLst/>
        </a:prstGeom>
        <a:ln xmlns:a="http://schemas.openxmlformats.org/drawingml/2006/main" w="0">
          <a:noFill/>
          <a:prstDash val="solid"/>
        </a:ln>
      </spPr>
    </pic>
    <clientData/>
  </twoCellAnchor>
</wsDr>
</file>

<file path=xl/drawings/drawing6.xml><?xml version="1.0" encoding="utf-8"?>
<wsDr xmlns="http://schemas.openxmlformats.org/drawingml/2006/spreadsheetDrawing">
  <twoCellAnchor editAs="oneCell">
    <from>
      <col>0</col>
      <colOff>76320</colOff>
      <row>0</row>
      <rowOff>85680</rowOff>
    </from>
    <to>
      <col>1</col>
      <colOff>1880640</colOff>
      <row>0</row>
      <rowOff>764280</rowOff>
    </to>
    <pic>
      <nvPicPr>
        <cNvPr id="5" name="Image 1" descr="Picture"/>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76320" y="85680"/>
          <a:ext cx="1945440" cy="678600"/>
        </a:xfrm>
        <a:prstGeom xmlns:a="http://schemas.openxmlformats.org/drawingml/2006/main" prst="rect">
          <avLst/>
        </a:prstGeom>
        <a:ln xmlns:a="http://schemas.openxmlformats.org/drawingml/2006/main" w="0">
          <a:noFill/>
          <a:prstDash val="solid"/>
        </a:ln>
      </spPr>
    </pic>
    <clientData/>
  </twoCellAnchor>
</wsDr>
</file>

<file path=xl/drawings/drawing7.xml><?xml version="1.0" encoding="utf-8"?>
<wsDr xmlns="http://schemas.openxmlformats.org/drawingml/2006/spreadsheetDrawing">
  <twoCellAnchor editAs="oneCell">
    <from>
      <col>0</col>
      <colOff>76320</colOff>
      <row>0</row>
      <rowOff>85680</rowOff>
    </from>
    <to>
      <col>1</col>
      <colOff>1880640</colOff>
      <row>0</row>
      <rowOff>764280</rowOff>
    </to>
    <pic>
      <nvPicPr>
        <cNvPr id="6" name="Image 1" descr="Picture"/>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76320" y="85680"/>
          <a:ext cx="1945440" cy="678600"/>
        </a:xfrm>
        <a:prstGeom xmlns:a="http://schemas.openxmlformats.org/drawingml/2006/main" prst="rect">
          <avLst/>
        </a:prstGeom>
        <a:ln xmlns:a="http://schemas.openxmlformats.org/drawingml/2006/main" w="0">
          <a:noFill/>
          <a:prstDash val="solid"/>
        </a:ln>
      </spPr>
    </pic>
    <clientData/>
  </twoCellAnchor>
</wsDr>
</file>

<file path=xl/drawings/drawing8.xml><?xml version="1.0" encoding="utf-8"?>
<wsDr xmlns="http://schemas.openxmlformats.org/drawingml/2006/spreadsheetDrawing">
  <twoCellAnchor editAs="oneCell">
    <from>
      <col>0</col>
      <colOff>76320</colOff>
      <row>0</row>
      <rowOff>85680</rowOff>
    </from>
    <to>
      <col>2</col>
      <colOff>48240</colOff>
      <row>0</row>
      <rowOff>764280</rowOff>
    </to>
    <pic>
      <nvPicPr>
        <cNvPr id="7" name="Image 1" descr="Picture"/>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76320" y="85680"/>
          <a:ext cx="2227320" cy="678600"/>
        </a:xfrm>
        <a:prstGeom xmlns:a="http://schemas.openxmlformats.org/drawingml/2006/main" prst="rect">
          <avLst/>
        </a:prstGeom>
        <a:ln xmlns:a="http://schemas.openxmlformats.org/drawingml/2006/main" w="0">
          <a:noFill/>
          <a:prstDash val="solid"/>
        </a:ln>
      </spPr>
    </pic>
    <clientData/>
  </twoCellAnchor>
</wsDr>
</file>

<file path=xl/drawings/drawing9.xml><?xml version="1.0" encoding="utf-8"?>
<wsDr xmlns="http://schemas.openxmlformats.org/drawingml/2006/spreadsheetDrawing">
  <twoCellAnchor editAs="oneCell">
    <from>
      <col>0</col>
      <colOff>76320</colOff>
      <row>0</row>
      <rowOff>85680</rowOff>
    </from>
    <to>
      <col>2</col>
      <colOff>48240</colOff>
      <row>0</row>
      <rowOff>764280</rowOff>
    </to>
    <pic>
      <nvPicPr>
        <cNvPr id="8" name="Image 1" descr="Picture"/>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76320" y="85680"/>
          <a:ext cx="2227320" cy="678600"/>
        </a:xfrm>
        <a:prstGeom xmlns:a="http://schemas.openxmlformats.org/drawingml/2006/main" prst="rect">
          <avLst/>
        </a:prstGeom>
        <a:ln xmlns:a="http://schemas.openxmlformats.org/drawingml/2006/main" w="0">
          <a:noFill/>
          <a:prstDash val="solid"/>
        </a:ln>
      </spPr>
    </pic>
    <clientData/>
  </twoCellAnchor>
</wsDr>
</file>

<file path=xl/drawings/drawing10.xml><?xml version="1.0" encoding="utf-8"?>
<wsDr xmlns="http://schemas.openxmlformats.org/drawingml/2006/spreadsheetDrawing">
  <twoCellAnchor editAs="oneCell">
    <from>
      <col>0</col>
      <colOff>76320</colOff>
      <row>0</row>
      <rowOff>85680</rowOff>
    </from>
    <to>
      <col>1</col>
      <colOff>1880640</colOff>
      <row>0</row>
      <rowOff>764280</rowOff>
    </to>
    <pic>
      <nvPicPr>
        <cNvPr id="9" name="Image 1" descr="Picture"/>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76320" y="85680"/>
          <a:ext cx="1945440" cy="678600"/>
        </a:xfrm>
        <a:prstGeom xmlns:a="http://schemas.openxmlformats.org/drawingml/2006/main" prst="rect">
          <avLst/>
        </a:prstGeom>
        <a:ln xmlns:a="http://schemas.openxmlformats.org/drawingml/2006/main" w="0">
          <a:noFill/>
          <a:prstDash val="solid"/>
        </a:ln>
      </spPr>
    </pic>
    <clientData/>
  </twoCellAnchor>
</wsDr>
</file>

<file path=xl/drawings/drawing11.xml><?xml version="1.0" encoding="utf-8"?>
<wsDr xmlns="http://schemas.openxmlformats.org/drawingml/2006/spreadsheetDrawing">
  <twoCellAnchor editAs="oneCell">
    <from>
      <col>0</col>
      <colOff>76320</colOff>
      <row>0</row>
      <rowOff>85680</rowOff>
    </from>
    <to>
      <col>1</col>
      <colOff>1880640</colOff>
      <row>0</row>
      <rowOff>764280</rowOff>
    </to>
    <pic>
      <nvPicPr>
        <cNvPr id="10" name="Image 1" descr="Picture"/>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76320" y="85680"/>
          <a:ext cx="1945440" cy="678600"/>
        </a:xfrm>
        <a:prstGeom xmlns:a="http://schemas.openxmlformats.org/drawingml/2006/main" prst="rect">
          <avLst/>
        </a:prstGeom>
        <a:ln xmlns:a="http://schemas.openxmlformats.org/drawingml/2006/main" w="0">
          <a:noFill/>
          <a:prstDash val="solid"/>
        </a:ln>
      </spPr>
    </pic>
    <clientData/>
  </twoCellAnchor>
</wsDr>
</file>

<file path=xl/drawings/drawing12.xml><?xml version="1.0" encoding="utf-8"?>
<wsDr xmlns="http://schemas.openxmlformats.org/drawingml/2006/spreadsheetDrawing">
  <twoCellAnchor editAs="oneCell">
    <from>
      <col>0</col>
      <colOff>76320</colOff>
      <row>0</row>
      <rowOff>85680</rowOff>
    </from>
    <to>
      <col>1</col>
      <colOff>1928160</colOff>
      <row>0</row>
      <rowOff>766080</rowOff>
    </to>
    <pic>
      <nvPicPr>
        <cNvPr id="11" name="Image 1" descr="Picture"/>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76320" y="85680"/>
          <a:ext cx="1992960" cy="680400"/>
        </a:xfrm>
        <a:prstGeom xmlns:a="http://schemas.openxmlformats.org/drawingml/2006/main" prst="rect">
          <avLst/>
        </a:prstGeom>
        <a:ln xmlns:a="http://schemas.openxmlformats.org/drawingml/2006/main" w="0">
          <a:noFill/>
          <a:prstDash val="solid"/>
        </a:ln>
      </spPr>
    </pic>
    <clientData/>
  </twoCellAnchor>
</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_rels/sheet5.xml.rels><Relationships xmlns="http://schemas.openxmlformats.org/package/2006/relationships"><Relationship Type="http://schemas.openxmlformats.org/officeDocument/2006/relationships/drawing" Target="/xl/drawings/drawing5.xml" Id="rId1"/></Relationships>
</file>

<file path=xl/worksheets/_rels/sheet6.xml.rels><Relationships xmlns="http://schemas.openxmlformats.org/package/2006/relationships"><Relationship Type="http://schemas.openxmlformats.org/officeDocument/2006/relationships/drawing" Target="/xl/drawings/drawing6.xml" Id="rId1"/></Relationships>
</file>

<file path=xl/worksheets/_rels/sheet7.xml.rels><Relationships xmlns="http://schemas.openxmlformats.org/package/2006/relationships"><Relationship Type="http://schemas.openxmlformats.org/officeDocument/2006/relationships/drawing" Target="/xl/drawings/drawing7.xml" Id="rId1"/></Relationships>
</file>

<file path=xl/worksheets/_rels/sheet8.xml.rels><Relationships xmlns="http://schemas.openxmlformats.org/package/2006/relationships"><Relationship Type="http://schemas.openxmlformats.org/officeDocument/2006/relationships/drawing" Target="/xl/drawings/drawing8.xml" Id="rId1"/></Relationships>
</file>

<file path=xl/worksheets/_rels/sheet9.xml.rels><Relationships xmlns="http://schemas.openxmlformats.org/package/2006/relationships"><Relationship Type="http://schemas.openxmlformats.org/officeDocument/2006/relationships/drawing" Target="/xl/drawings/drawing9.xml" Id="rId1"/></Relationships>
</file>

<file path=xl/worksheets/_rels/sheet10.xml.rels><Relationships xmlns="http://schemas.openxmlformats.org/package/2006/relationships"><Relationship Type="http://schemas.openxmlformats.org/officeDocument/2006/relationships/drawing" Target="/xl/drawings/drawing10.xml" Id="rId1"/></Relationships>
</file>

<file path=xl/worksheets/_rels/sheet11.xml.rels><Relationships xmlns="http://schemas.openxmlformats.org/package/2006/relationships"><Relationship Type="http://schemas.openxmlformats.org/officeDocument/2006/relationships/drawing" Target="/xl/drawings/drawing11.xml" Id="rId1"/></Relationships>
</file>

<file path=xl/worksheets/_rels/sheet12.xml.rels><Relationships xmlns="http://schemas.openxmlformats.org/package/2006/relationships"><Relationship Type="http://schemas.openxmlformats.org/officeDocument/2006/relationships/drawing" Target="/xl/drawings/drawing12.xml" Id="rId1"/></Relationships>
</file>

<file path=xl/worksheets/sheet1.xml><?xml version="1.0" encoding="utf-8"?>
<worksheet xmlns="http://schemas.openxmlformats.org/spreadsheetml/2006/main">
  <sheetPr filterMode="0">
    <outlinePr summaryBelow="1" summaryRight="1"/>
    <pageSetUpPr fitToPage="0"/>
  </sheetPr>
  <dimension ref="A1:C3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H9" activeCellId="0" sqref="H9"/>
    </sheetView>
  </sheetViews>
  <sheetFormatPr baseColWidth="8" defaultColWidth="8.71484375" defaultRowHeight="15" zeroHeight="0" outlineLevelRow="0"/>
  <cols>
    <col width="2" customWidth="1" style="162" min="1" max="1"/>
    <col width="100" customWidth="1" style="162" min="2" max="2"/>
    <col hidden="1" width="80" customWidth="1" style="162" min="3" max="3"/>
  </cols>
  <sheetData>
    <row r="1" ht="58.5" customHeight="1" s="163">
      <c r="A1" s="164" t="n"/>
      <c r="B1" s="165" t="n"/>
      <c r="C1" s="166" t="n"/>
    </row>
    <row r="2" ht="48" customHeight="1" s="163">
      <c r="A2" s="167" t="inlineStr">
        <is>
          <t>Intellectual Property Notice &amp; Terms of Use</t>
        </is>
      </c>
      <c r="B2" s="168" t="n"/>
      <c r="C2" s="168" t="n"/>
    </row>
    <row r="3" ht="18" customHeight="1" s="163">
      <c r="A3" s="169">
        <f>"FY "&amp;FYYear&amp;"  ·  Baobab Consulting  ·  Confidential"</f>
        <v/>
      </c>
      <c r="B3" s="170" t="n"/>
      <c r="C3" s="170" t="n"/>
    </row>
    <row r="4" ht="13.5" customHeight="1" s="163">
      <c r="A4" s="171" t="inlineStr">
        <is>
          <t>© Baobab Group of Companies (incl. Baobab CFO Pty Ltd &amp; Baobab Consulting). No unauthorised use or reproduction without prior written permission.</t>
        </is>
      </c>
      <c r="B4" s="172" t="n"/>
      <c r="C4" s="172" t="n"/>
    </row>
    <row r="5" ht="24" customHeight="1" s="163">
      <c r="A5" s="172" t="n"/>
      <c r="B5" s="173" t="inlineStr">
        <is>
          <t>INTELLECTUAL PROPERTY</t>
        </is>
      </c>
      <c r="C5" s="172" t="n"/>
    </row>
    <row r="6" ht="18" customHeight="1" s="163">
      <c r="A6" s="172" t="n"/>
      <c r="B6" s="174" t="inlineStr">
        <is>
          <t>Ownership</t>
        </is>
      </c>
      <c r="C6" s="172" t="n"/>
    </row>
    <row r="7" ht="69.75" customHeight="1" s="163">
      <c r="A7" s="172" t="n"/>
      <c r="B7" s="175" t="inlineStr">
        <is>
          <t>This workbook and all of its contents — including but not limited to its structure, formulas, design, data, calculations, brand elements and methodology — are the exclusive intellectual property of the Baobab Group of Companies, including Baobab CFO Pty Ltd and Baobab Consulting (collectively ‘Baobab’).</t>
        </is>
      </c>
      <c r="C7" s="172" t="n"/>
    </row>
    <row r="8" ht="18" customHeight="1" s="163">
      <c r="A8" s="172" t="n"/>
      <c r="B8" s="174" t="inlineStr">
        <is>
          <t>Copyright</t>
        </is>
      </c>
      <c r="C8" s="172" t="n"/>
    </row>
    <row r="9" ht="69.75" customHeight="1" s="163">
      <c r="A9" s="172" t="n"/>
      <c r="B9" s="175" t="inlineStr">
        <is>
          <t>© 2026 Baobab Group of Companies. All rights reserved. No part of this workbook may be reproduced, distributed, modified, adapted, translated, publicly performed, published or sub-licensed in any form or by any means, electronic or mechanical, without prior written permission from Baobab Consulting.</t>
        </is>
      </c>
      <c r="C9" s="172" t="n"/>
    </row>
    <row r="10" ht="18" customHeight="1" s="163">
      <c r="A10" s="172" t="n"/>
      <c r="B10" s="174" t="inlineStr">
        <is>
          <t>Unauthorised Use</t>
        </is>
      </c>
      <c r="C10" s="172" t="n"/>
    </row>
    <row r="11" ht="69.75" customHeight="1" s="163">
      <c r="A11" s="172" t="n"/>
      <c r="B11" s="175" t="inlineStr">
        <is>
          <t>Any unauthorised use, reproduction, distribution or modification of this workbook or its contents constitutes an infringement of Baobab’s intellectual property rights and may result in civil and/or criminal liability under the Copyright Act 1968 (Cth) and applicable intellectual property laws.</t>
        </is>
      </c>
      <c r="C11" s="172" t="n"/>
    </row>
    <row r="12">
      <c r="A12" s="172" t="n"/>
      <c r="B12" s="172" t="n"/>
      <c r="C12" s="172" t="n"/>
    </row>
    <row r="13" ht="24" customHeight="1" s="163">
      <c r="A13" s="172" t="n"/>
      <c r="B13" s="176" t="inlineStr">
        <is>
          <t>TERMS OF USE</t>
        </is>
      </c>
      <c r="C13" s="172" t="n"/>
    </row>
    <row r="14" ht="18" customHeight="1" s="163">
      <c r="A14" s="172" t="n"/>
      <c r="B14" s="174" t="inlineStr">
        <is>
          <t>Licensed Use</t>
        </is>
      </c>
      <c r="C14" s="172" t="n"/>
    </row>
    <row r="15" ht="55.5" customHeight="1" s="163">
      <c r="A15" s="172" t="n"/>
      <c r="B15" s="175" t="inlineStr">
        <is>
          <t>This workbook is provided to the named client exclusively for their personal household planning purposes. Use is limited to the client and their authorised representatives. This licence is non-transferable and non-sublicensable.</t>
        </is>
      </c>
      <c r="C15" s="172" t="n"/>
    </row>
    <row r="16" ht="18" customHeight="1" s="163">
      <c r="A16" s="172" t="n"/>
      <c r="B16" s="174" t="inlineStr">
        <is>
          <t>Prohibited Uses</t>
        </is>
      </c>
      <c r="C16" s="172" t="n"/>
    </row>
    <row r="17" ht="69.75" customHeight="1" s="163">
      <c r="A17" s="172" t="n"/>
      <c r="B17" s="175" t="inlineStr">
        <is>
          <t>You may not: (a) share or distribute this workbook to any third party; (b) use it to create competing products or services; (c) remove, alter or obscure any copyright notices, branding or IP notices; (d) reverse-engineer, decompile or extract the underlying methodology.</t>
        </is>
      </c>
      <c r="C17" s="172" t="n"/>
    </row>
    <row r="18" ht="18" customHeight="1" s="163">
      <c r="A18" s="172" t="n"/>
      <c r="B18" s="174" t="inlineStr">
        <is>
          <t>Confidentiality</t>
        </is>
      </c>
      <c r="C18" s="172" t="n"/>
    </row>
    <row r="19" ht="55.5" customHeight="1" s="163">
      <c r="A19" s="172" t="n"/>
      <c r="B19" s="175" t="inlineStr">
        <is>
          <t>This workbook contains confidential financial information and proprietary methodology. Recipients must treat it as confidential and not disclose its contents to any third party without prior written consent.</t>
        </is>
      </c>
      <c r="C19" s="172" t="n"/>
    </row>
    <row r="20">
      <c r="A20" s="172" t="n"/>
      <c r="B20" s="172" t="n"/>
      <c r="C20" s="172" t="n"/>
    </row>
    <row r="21" ht="24" customHeight="1" s="163">
      <c r="A21" s="172" t="n"/>
      <c r="B21" s="177" t="inlineStr">
        <is>
          <t>DISCLAIMER</t>
        </is>
      </c>
      <c r="C21" s="172" t="n"/>
    </row>
    <row r="22" ht="18" customHeight="1" s="163">
      <c r="A22" s="172" t="n"/>
      <c r="B22" s="174" t="inlineStr">
        <is>
          <t>Planning Only</t>
        </is>
      </c>
      <c r="C22" s="172" t="n"/>
    </row>
    <row r="23" ht="69.75" customHeight="1" s="163">
      <c r="A23" s="172" t="n"/>
      <c r="B23" s="175" t="inlineStr">
        <is>
          <t>This workbook is for financial planning and modelling purposes only. It does not constitute financial, tax, legal or accounting advice. Outputs are estimates based on the information provided and current known rates. Always engage a registered tax agent or financial adviser for formal advice.</t>
        </is>
      </c>
      <c r="C23" s="172" t="n"/>
    </row>
    <row r="24" ht="18" customHeight="1" s="163">
      <c r="A24" s="172" t="n"/>
      <c r="B24" s="174" t="inlineStr">
        <is>
          <t>Accuracy</t>
        </is>
      </c>
      <c r="C24" s="172" t="n"/>
    </row>
    <row r="25" ht="55.5" customHeight="1" s="163">
      <c r="A25" s="172" t="n"/>
      <c r="B25" s="175" t="inlineStr">
        <is>
          <t>Baobab Consulting takes reasonable care to ensure accuracy but does not warrant that figures are correct for any specific purpose. The client is responsible for verifying all data entered and outputs produced.</t>
        </is>
      </c>
      <c r="C25" s="172" t="n"/>
    </row>
    <row r="26" ht="18" customHeight="1" s="163">
      <c r="A26" s="172" t="n"/>
      <c r="B26" s="174" t="inlineStr">
        <is>
          <t>Contact</t>
        </is>
      </c>
      <c r="C26" s="172" t="n"/>
    </row>
    <row r="27" ht="42" customHeight="1" s="163">
      <c r="A27" s="172" t="n"/>
      <c r="B27" s="175" t="inlineStr">
        <is>
          <t>For permissions, licensing enquiries or to report a breach of these terms, contact Baobab Consulting. Unauthorised use will be pursued.</t>
        </is>
      </c>
      <c r="C27" s="172" t="n"/>
    </row>
    <row r="28">
      <c r="A28" s="172" t="n"/>
      <c r="B28" s="172" t="n"/>
      <c r="C28" s="172" t="n"/>
    </row>
    <row r="29">
      <c r="A29" s="172" t="n"/>
      <c r="B29" s="172" t="n"/>
      <c r="C29" s="172" t="n"/>
    </row>
    <row r="30" ht="15.75" customHeight="1" s="163">
      <c r="A30" s="172" t="n"/>
      <c r="B30" s="178">
        <f>"Prepared by Baobab Consulting  ·  Confidential — "&amp;FamilyName&amp;" Group  ·  FY "&amp;FYYear</f>
        <v/>
      </c>
      <c r="C30" s="172" t="n"/>
    </row>
  </sheetData>
  <mergeCells count="3">
    <mergeCell ref="A4:C4"/>
    <mergeCell ref="A3:C3"/>
    <mergeCell ref="A2:C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drawing xmlns:r="http://schemas.openxmlformats.org/officeDocument/2006/relationships" r:id="rId1"/>
</worksheet>
</file>

<file path=xl/worksheets/sheet2.xml><?xml version="1.0" encoding="utf-8"?>
<worksheet xmlns="http://schemas.openxmlformats.org/spreadsheetml/2006/main">
  <sheetPr filterMode="0">
    <outlinePr summaryBelow="1" summaryRight="1"/>
    <pageSetUpPr fitToPage="0"/>
  </sheetPr>
  <dimension ref="A1:O55"/>
  <sheetViews>
    <sheetView showFormulas="0" showGridLines="0" showRowColHeaders="1" showZeros="1" rightToLeft="0" tabSelected="0" showOutlineSymbols="1" defaultGridColor="1"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C9" activeCellId="0" sqref="C9"/>
    </sheetView>
  </sheetViews>
  <sheetFormatPr baseColWidth="8" defaultColWidth="8.71484375" defaultRowHeight="15" zeroHeight="0" outlineLevelRow="0"/>
  <cols>
    <col width="2" customWidth="1" style="162" min="1" max="1"/>
    <col width="34" customWidth="1" style="162" min="2" max="2"/>
    <col width="22" customWidth="1" style="162" min="3" max="4"/>
    <col width="5" customWidth="1" style="162" min="5" max="5"/>
    <col width="34" customWidth="1" style="162" min="6" max="6"/>
    <col width="22" customWidth="1" style="162" min="7" max="7"/>
    <col width="23.57" customWidth="1" style="162" min="8" max="8"/>
  </cols>
  <sheetData>
    <row r="1" ht="90" customHeight="1" s="163">
      <c r="A1" s="179" t="n"/>
      <c r="B1" s="179" t="n"/>
      <c r="C1" s="180">
        <f>FamilyName&amp;" Group — Planning Assumptions"</f>
        <v/>
      </c>
      <c r="D1" s="168" t="n"/>
      <c r="E1" s="168" t="n"/>
      <c r="F1" s="168" t="n"/>
      <c r="G1" s="168" t="n"/>
      <c r="H1" s="168" t="n"/>
      <c r="I1" s="168" t="n"/>
      <c r="J1" s="168" t="n"/>
      <c r="K1" s="168" t="n"/>
      <c r="L1" s="179" t="n"/>
      <c r="M1" s="179" t="n"/>
      <c r="N1" s="179" t="n"/>
      <c r="O1" s="181" t="n"/>
    </row>
    <row r="2" ht="18" customHeight="1" s="163">
      <c r="A2" s="182" t="n"/>
      <c r="B2" s="182" t="n"/>
      <c r="C2" s="183">
        <f>"FY "&amp;FYYear&amp;"  ·  Baobab Consulting  ·  Confidential"</f>
        <v/>
      </c>
      <c r="D2" s="170" t="n"/>
      <c r="E2" s="170" t="n"/>
      <c r="F2" s="170" t="n"/>
      <c r="G2" s="170" t="n"/>
      <c r="H2" s="170" t="n"/>
      <c r="I2" s="170" t="n"/>
      <c r="J2" s="170" t="n"/>
      <c r="K2" s="170" t="n"/>
      <c r="L2" s="182" t="n"/>
      <c r="M2" s="182" t="n"/>
      <c r="N2" s="182" t="n"/>
      <c r="O2" s="181" t="n"/>
    </row>
    <row r="3" ht="13.5" customHeight="1" s="163">
      <c r="A3" s="184" t="n"/>
      <c r="B3" s="171" t="inlineStr">
        <is>
          <t>© Baobab Group of Companies (incl. Baobab CFO Pty Ltd &amp; Baobab Consulting). No unauthorised use or reproduction without prior written permission.</t>
        </is>
      </c>
      <c r="C3" s="172" t="n"/>
      <c r="D3" s="172" t="n"/>
      <c r="E3" s="172" t="n"/>
      <c r="F3" s="172" t="n"/>
      <c r="G3" s="172" t="n"/>
      <c r="H3" s="172" t="n"/>
      <c r="I3" s="172" t="n"/>
      <c r="J3" s="172" t="n"/>
      <c r="K3" s="172" t="n"/>
      <c r="L3" s="184" t="n"/>
      <c r="M3" s="184" t="n"/>
      <c r="N3" s="184" t="n"/>
      <c r="O3" s="181" t="n"/>
    </row>
    <row r="4" ht="21.75" customHeight="1" s="163">
      <c r="A4" s="172" t="n"/>
      <c r="B4" s="185" t="inlineStr">
        <is>
          <t>FAMILY &amp; GENERAL</t>
        </is>
      </c>
      <c r="C4" s="172" t="n"/>
      <c r="D4" s="172" t="n"/>
      <c r="E4" s="172" t="n"/>
      <c r="F4" s="186" t="inlineStr">
        <is>
          <t>ATO TAX BRACKETS 2025–26 (Ref)</t>
        </is>
      </c>
      <c r="G4" s="172" t="n"/>
      <c r="H4" s="172" t="n"/>
      <c r="I4" s="172" t="n"/>
      <c r="J4" s="172" t="n"/>
      <c r="K4" s="172" t="n"/>
      <c r="L4" s="172" t="n"/>
      <c r="M4" s="172" t="n"/>
      <c r="N4" s="172" t="n"/>
      <c r="O4" s="172" t="n"/>
    </row>
    <row r="5" ht="30" customHeight="1" s="163">
      <c r="A5" s="172" t="n"/>
      <c r="B5" s="187" t="inlineStr">
        <is>
          <t>Setting</t>
        </is>
      </c>
      <c r="C5" s="187" t="inlineStr">
        <is>
          <t>Value</t>
        </is>
      </c>
      <c r="D5" s="187" t="inlineStr">
        <is>
          <t>Notes</t>
        </is>
      </c>
      <c r="E5" s="172" t="n"/>
      <c r="F5" s="187" t="inlineStr">
        <is>
          <t>Taxable Income</t>
        </is>
      </c>
      <c r="G5" s="187" t="inlineStr">
        <is>
          <t>Rate</t>
        </is>
      </c>
      <c r="H5" s="187" t="inlineStr">
        <is>
          <t>Base Tax + Marginal</t>
        </is>
      </c>
      <c r="I5" s="172" t="n"/>
      <c r="J5" s="172" t="n"/>
      <c r="K5" s="172" t="n"/>
      <c r="L5" s="172" t="n"/>
      <c r="M5" s="172" t="n"/>
      <c r="N5" s="172" t="n"/>
      <c r="O5" s="172" t="n"/>
    </row>
    <row r="6" ht="18" customHeight="1" s="163">
      <c r="A6" s="172" t="n"/>
      <c r="B6" s="188" t="inlineStr">
        <is>
          <t>Financial Year</t>
        </is>
      </c>
      <c r="C6" s="189" t="inlineStr">
        <is>
          <t>2025-26</t>
        </is>
      </c>
      <c r="D6" s="190" t="inlineStr">
        <is>
          <t>Change each year</t>
        </is>
      </c>
      <c r="E6" s="172" t="n"/>
      <c r="F6" s="191" t="inlineStr">
        <is>
          <t>$0 – $18,200</t>
        </is>
      </c>
      <c r="G6" s="192" t="inlineStr">
        <is>
          <t>0%</t>
        </is>
      </c>
      <c r="H6" s="193" t="inlineStr">
        <is>
          <t>Nil</t>
        </is>
      </c>
      <c r="I6" s="172" t="n"/>
      <c r="J6" s="172" t="n"/>
      <c r="K6" s="172" t="n"/>
      <c r="L6" s="172" t="n"/>
      <c r="M6" s="172" t="n"/>
      <c r="N6" s="172" t="n"/>
      <c r="O6" s="172" t="n"/>
    </row>
    <row r="7" ht="18" customHeight="1" s="163">
      <c r="A7" s="172" t="n"/>
      <c r="B7" s="188" t="inlineStr">
        <is>
          <t>Family Name</t>
        </is>
      </c>
      <c r="C7" s="189" t="inlineStr">
        <is>
          <t>Le</t>
        </is>
      </c>
      <c r="D7" s="190" t="n"/>
      <c r="E7" s="172" t="n"/>
      <c r="F7" s="194" t="inlineStr">
        <is>
          <t>$18,201 – $45,000</t>
        </is>
      </c>
      <c r="G7" s="192" t="inlineStr">
        <is>
          <t>16c</t>
        </is>
      </c>
      <c r="H7" s="193" t="inlineStr">
        <is>
          <t>Nil + 16c over $18,200</t>
        </is>
      </c>
      <c r="I7" s="172" t="n"/>
      <c r="J7" s="172" t="n"/>
      <c r="K7" s="172" t="n"/>
      <c r="L7" s="172" t="n"/>
      <c r="M7" s="172" t="n"/>
      <c r="N7" s="172" t="n"/>
      <c r="O7" s="172" t="n"/>
    </row>
    <row r="8" ht="18" customHeight="1" s="163">
      <c r="A8" s="172" t="n"/>
      <c r="B8" s="188" t="inlineStr">
        <is>
          <t>Person 1 Name</t>
        </is>
      </c>
      <c r="C8" s="189" t="inlineStr">
        <is>
          <t>Lina</t>
        </is>
      </c>
      <c r="D8" s="190" t="n"/>
      <c r="E8" s="172" t="n"/>
      <c r="F8" s="191" t="inlineStr">
        <is>
          <t>$45,001 – $135,000</t>
        </is>
      </c>
      <c r="G8" s="192" t="inlineStr">
        <is>
          <t>30c</t>
        </is>
      </c>
      <c r="H8" s="193" t="inlineStr">
        <is>
          <t>$4,288 + 30c over $45,000</t>
        </is>
      </c>
      <c r="I8" s="172" t="n"/>
      <c r="J8" s="172" t="n"/>
      <c r="K8" s="172" t="n"/>
      <c r="L8" s="172" t="n"/>
      <c r="M8" s="172" t="n"/>
      <c r="N8" s="172" t="n"/>
      <c r="O8" s="172" t="n"/>
    </row>
    <row r="9" ht="18" customHeight="1" s="163">
      <c r="A9" s="172" t="n"/>
      <c r="B9" s="188" t="inlineStr">
        <is>
          <t>Person 2 Name</t>
        </is>
      </c>
      <c r="C9" s="189" t="inlineStr">
        <is>
          <t>TBC</t>
        </is>
      </c>
      <c r="D9" s="190" t="n"/>
      <c r="E9" s="172" t="n"/>
      <c r="F9" s="194" t="inlineStr">
        <is>
          <t>$135,001 – $190,000</t>
        </is>
      </c>
      <c r="G9" s="192" t="inlineStr">
        <is>
          <t>37c</t>
        </is>
      </c>
      <c r="H9" s="193" t="inlineStr">
        <is>
          <t>$31,288 + 37c over $135,000</t>
        </is>
      </c>
      <c r="I9" s="172" t="n"/>
      <c r="J9" s="172" t="n"/>
      <c r="K9" s="172" t="n"/>
      <c r="L9" s="172" t="n"/>
      <c r="M9" s="172" t="n"/>
      <c r="N9" s="172" t="n"/>
      <c r="O9" s="172" t="n"/>
    </row>
    <row r="10" ht="18" customHeight="1" s="163">
      <c r="A10" s="172" t="n"/>
      <c r="B10" s="188" t="inlineStr">
        <is>
          <t>Number of Dependents</t>
        </is>
      </c>
      <c r="C10" s="195" t="n">
        <v>2</v>
      </c>
      <c r="D10" s="190" t="inlineStr">
        <is>
          <t>For tax offset calcs</t>
        </is>
      </c>
      <c r="E10" s="172" t="n"/>
      <c r="F10" s="191" t="inlineStr">
        <is>
          <t>$190,001+</t>
        </is>
      </c>
      <c r="G10" s="192" t="inlineStr">
        <is>
          <t>45c</t>
        </is>
      </c>
      <c r="H10" s="193" t="inlineStr">
        <is>
          <t>$51,638 + 45c over $190,000</t>
        </is>
      </c>
      <c r="I10" s="172" t="n"/>
      <c r="J10" s="172" t="n"/>
      <c r="K10" s="172" t="n"/>
      <c r="L10" s="172" t="n"/>
      <c r="M10" s="172" t="n"/>
      <c r="N10" s="172" t="n"/>
      <c r="O10" s="172" t="n"/>
    </row>
    <row r="11" ht="18" customHeight="1" s="163">
      <c r="A11" s="172" t="n"/>
      <c r="B11" s="188" t="inlineStr">
        <is>
          <t>Trust Name</t>
        </is>
      </c>
      <c r="C11" s="189" t="inlineStr">
        <is>
          <t>Le Family Trust</t>
        </is>
      </c>
      <c r="D11" s="190" t="n"/>
      <c r="E11" s="172" t="n"/>
      <c r="F11" s="194" t="n"/>
      <c r="G11" s="192" t="n"/>
      <c r="H11" s="193" t="n"/>
      <c r="I11" s="172" t="n"/>
      <c r="J11" s="172" t="n"/>
      <c r="K11" s="172" t="n"/>
      <c r="L11" s="172" t="n"/>
      <c r="M11" s="172" t="n"/>
      <c r="N11" s="172" t="n"/>
      <c r="O11" s="172" t="n"/>
    </row>
    <row r="12" ht="18" customHeight="1" s="163">
      <c r="A12" s="172" t="n"/>
      <c r="B12" s="196" t="inlineStr">
        <is>
          <t>Trust Distribution — Person 1</t>
        </is>
      </c>
      <c r="C12" s="197" t="n">
        <v>1</v>
      </c>
      <c r="D12" s="190">
        <f>"% to "&amp;Person1</f>
        <v/>
      </c>
      <c r="E12" s="172" t="n"/>
      <c r="F12" s="191" t="inlineStr">
        <is>
          <t>Medicare Levy</t>
        </is>
      </c>
      <c r="G12" s="192" t="inlineStr">
        <is>
          <t>2.0%</t>
        </is>
      </c>
      <c r="H12" s="193" t="inlineStr">
        <is>
          <t>On full taxable income</t>
        </is>
      </c>
      <c r="I12" s="172" t="n"/>
      <c r="J12" s="172" t="n"/>
      <c r="K12" s="172" t="n"/>
      <c r="L12" s="172" t="n"/>
      <c r="M12" s="172" t="n"/>
      <c r="N12" s="172" t="n"/>
      <c r="O12" s="172" t="n"/>
    </row>
    <row r="13" ht="18" customHeight="1" s="163">
      <c r="A13" s="172" t="n"/>
      <c r="B13" s="196" t="inlineStr">
        <is>
          <t>Trust Distribution — Person 2</t>
        </is>
      </c>
      <c r="C13" s="197" t="n">
        <v>0</v>
      </c>
      <c r="D13" s="190">
        <f>"% to "&amp;Person2</f>
        <v/>
      </c>
      <c r="E13" s="172" t="n"/>
      <c r="F13" s="194" t="inlineStr">
        <is>
          <t>LITO (max)</t>
        </is>
      </c>
      <c r="G13" s="192" t="inlineStr">
        <is>
          <t>$700</t>
        </is>
      </c>
      <c r="H13" s="193" t="inlineStr">
        <is>
          <t>Phases out $37,500–$66,667</t>
        </is>
      </c>
      <c r="I13" s="172" t="n"/>
      <c r="J13" s="172" t="n"/>
      <c r="K13" s="172" t="n"/>
      <c r="L13" s="172" t="n"/>
      <c r="M13" s="172" t="n"/>
      <c r="N13" s="172" t="n"/>
      <c r="O13" s="172" t="n"/>
    </row>
    <row r="14" ht="18" customHeight="1" s="163">
      <c r="A14" s="172" t="n"/>
      <c r="B14" s="172" t="n"/>
      <c r="C14" s="172" t="n"/>
      <c r="D14" s="172" t="n"/>
      <c r="E14" s="172" t="n"/>
      <c r="F14" s="191" t="inlineStr">
        <is>
          <t>LMITO</t>
        </is>
      </c>
      <c r="G14" s="192" t="inlineStr">
        <is>
          <t>Nil</t>
        </is>
      </c>
      <c r="H14" s="193" t="inlineStr">
        <is>
          <t>Ceased FY2022-23</t>
        </is>
      </c>
      <c r="I14" s="172" t="n"/>
      <c r="J14" s="172" t="n"/>
      <c r="K14" s="172" t="n"/>
      <c r="L14" s="172" t="n"/>
      <c r="M14" s="172" t="n"/>
      <c r="N14" s="172" t="n"/>
      <c r="O14" s="172" t="n"/>
    </row>
    <row r="15" ht="21.75" customHeight="1" s="163">
      <c r="A15" s="172" t="n"/>
      <c r="B15" s="187" t="inlineStr">
        <is>
          <t>RATES &amp; ASSUMPTIONS</t>
        </is>
      </c>
      <c r="C15" s="198" t="n"/>
      <c r="D15" s="199" t="n"/>
      <c r="E15" s="172" t="n"/>
      <c r="F15" s="172" t="n"/>
      <c r="G15" s="172" t="n"/>
      <c r="H15" s="172" t="n"/>
      <c r="I15" s="172" t="n"/>
      <c r="J15" s="172" t="n"/>
      <c r="K15" s="172" t="n"/>
      <c r="L15" s="172" t="n"/>
      <c r="M15" s="172" t="n"/>
      <c r="N15" s="172" t="n"/>
      <c r="O15" s="172" t="n"/>
    </row>
    <row r="16" ht="21.75" customHeight="1" s="163">
      <c r="A16" s="172" t="n"/>
      <c r="B16" s="187" t="inlineStr">
        <is>
          <t>Rate</t>
        </is>
      </c>
      <c r="C16" s="187" t="inlineStr">
        <is>
          <t>Value</t>
        </is>
      </c>
      <c r="D16" s="187" t="inlineStr">
        <is>
          <t>Notes</t>
        </is>
      </c>
      <c r="E16" s="172" t="n"/>
      <c r="F16" s="172" t="n"/>
      <c r="G16" s="172" t="n"/>
      <c r="H16" s="172" t="n"/>
      <c r="I16" s="172" t="n"/>
      <c r="J16" s="172" t="n"/>
      <c r="K16" s="172" t="n"/>
      <c r="L16" s="172" t="n"/>
      <c r="M16" s="172" t="n"/>
      <c r="N16" s="172" t="n"/>
      <c r="O16" s="172" t="n"/>
    </row>
    <row r="17" ht="18" customHeight="1" s="163">
      <c r="A17" s="172" t="n"/>
      <c r="B17" s="191" t="inlineStr">
        <is>
          <t>RBA Cash Rate</t>
        </is>
      </c>
      <c r="C17" s="189" t="inlineStr">
        <is>
          <t>4.35%</t>
        </is>
      </c>
      <c r="D17" s="190" t="inlineStr">
        <is>
          <t>As at April 2026</t>
        </is>
      </c>
      <c r="E17" s="172" t="n"/>
      <c r="F17" s="172" t="n"/>
      <c r="G17" s="172" t="n"/>
      <c r="H17" s="172" t="n"/>
      <c r="I17" s="172" t="n"/>
      <c r="J17" s="172" t="n"/>
      <c r="K17" s="172" t="n"/>
      <c r="L17" s="172" t="n"/>
      <c r="M17" s="172" t="n"/>
      <c r="N17" s="172" t="n"/>
      <c r="O17" s="172" t="n"/>
    </row>
    <row r="18" ht="18" customHeight="1" s="163">
      <c r="A18" s="172" t="n"/>
      <c r="B18" s="200" t="inlineStr">
        <is>
          <t>Assumed Mortgage Rate</t>
        </is>
      </c>
      <c r="C18" s="189" t="inlineStr">
        <is>
          <t>6.20%</t>
        </is>
      </c>
      <c r="D18" s="190" t="inlineStr">
        <is>
          <t>Investment loans</t>
        </is>
      </c>
      <c r="E18" s="172" t="n"/>
      <c r="F18" s="172" t="n"/>
      <c r="G18" s="172" t="n"/>
      <c r="H18" s="172" t="n"/>
      <c r="I18" s="172" t="n"/>
      <c r="J18" s="172" t="n"/>
      <c r="K18" s="172" t="n"/>
      <c r="L18" s="172" t="n"/>
      <c r="M18" s="172" t="n"/>
      <c r="N18" s="172" t="n"/>
      <c r="O18" s="172" t="n"/>
    </row>
    <row r="19" ht="18" customHeight="1" s="163">
      <c r="A19" s="172" t="n"/>
      <c r="B19" s="200" t="inlineStr">
        <is>
          <t>Assumed Mortgage Rate (PPOR)</t>
        </is>
      </c>
      <c r="C19" s="189" t="inlineStr">
        <is>
          <t>6.00%</t>
        </is>
      </c>
      <c r="D19" s="190" t="inlineStr">
        <is>
          <t>Principal residence</t>
        </is>
      </c>
      <c r="E19" s="172" t="n"/>
      <c r="F19" s="172" t="n"/>
      <c r="G19" s="172" t="n"/>
      <c r="H19" s="172" t="n"/>
      <c r="I19" s="172" t="n"/>
      <c r="J19" s="172" t="n"/>
      <c r="K19" s="172" t="n"/>
      <c r="L19" s="172" t="n"/>
      <c r="M19" s="172" t="n"/>
      <c r="N19" s="172" t="n"/>
      <c r="O19" s="172" t="n"/>
    </row>
    <row r="20" ht="18" customHeight="1" s="163">
      <c r="A20" s="172" t="n"/>
      <c r="B20" s="191" t="inlineStr">
        <is>
          <t>Inflation Assumption</t>
        </is>
      </c>
      <c r="C20" s="189" t="inlineStr">
        <is>
          <t>3.0%</t>
        </is>
      </c>
      <c r="D20" s="190" t="inlineStr">
        <is>
          <t>CPI for cost escalation</t>
        </is>
      </c>
      <c r="E20" s="172" t="n"/>
      <c r="F20" s="172" t="n"/>
      <c r="G20" s="172" t="n"/>
      <c r="H20" s="172" t="n"/>
      <c r="I20" s="172" t="n"/>
      <c r="J20" s="172" t="n"/>
      <c r="K20" s="172" t="n"/>
      <c r="L20" s="172" t="n"/>
      <c r="M20" s="172" t="n"/>
      <c r="N20" s="172" t="n"/>
      <c r="O20" s="172" t="n"/>
    </row>
    <row r="21" ht="18" customHeight="1" s="163">
      <c r="A21" s="172" t="n"/>
      <c r="B21" s="200" t="inlineStr">
        <is>
          <t>Property Growth Rate (p.a.)</t>
        </is>
      </c>
      <c r="C21" s="189" t="inlineStr">
        <is>
          <t>5.0%</t>
        </is>
      </c>
      <c r="D21" s="190" t="inlineStr">
        <is>
          <t>Assumed capital growth</t>
        </is>
      </c>
      <c r="E21" s="172" t="n"/>
      <c r="F21" s="172" t="n"/>
      <c r="G21" s="172" t="n"/>
      <c r="H21" s="172" t="n"/>
      <c r="I21" s="172" t="n"/>
      <c r="J21" s="172" t="n"/>
      <c r="K21" s="172" t="n"/>
      <c r="L21" s="172" t="n"/>
      <c r="M21" s="172" t="n"/>
      <c r="N21" s="172" t="n"/>
      <c r="O21" s="172" t="n"/>
    </row>
    <row r="22" ht="18" customHeight="1" s="163">
      <c r="A22" s="172" t="n"/>
      <c r="B22" s="200" t="inlineStr">
        <is>
          <t>Share Market Return (p.a.)</t>
        </is>
      </c>
      <c r="C22" s="189" t="inlineStr">
        <is>
          <t>9.0%</t>
        </is>
      </c>
      <c r="D22" s="190" t="inlineStr">
        <is>
          <t>Long-run ASX avg</t>
        </is>
      </c>
      <c r="E22" s="172" t="n"/>
      <c r="F22" s="172" t="n"/>
      <c r="G22" s="172" t="n"/>
      <c r="H22" s="172" t="n"/>
      <c r="I22" s="172" t="n"/>
      <c r="J22" s="172" t="n"/>
      <c r="K22" s="172" t="n"/>
      <c r="L22" s="172" t="n"/>
      <c r="M22" s="172" t="n"/>
      <c r="N22" s="172" t="n"/>
      <c r="O22" s="172" t="n"/>
    </row>
    <row r="23" ht="18" customHeight="1" s="163">
      <c r="A23" s="172" t="n"/>
      <c r="B23" s="191" t="inlineStr">
        <is>
          <t>Super Guarantee Rate</t>
        </is>
      </c>
      <c r="C23" s="201" t="n">
        <v>0.12</v>
      </c>
      <c r="D23" s="190">
        <f>"FY"&amp;FYYear&amp;" SGC rate"</f>
        <v/>
      </c>
      <c r="E23" s="172" t="n"/>
      <c r="F23" s="172" t="n"/>
      <c r="G23" s="172" t="n"/>
      <c r="H23" s="172" t="n"/>
      <c r="I23" s="172" t="n"/>
      <c r="J23" s="172" t="n"/>
      <c r="K23" s="172" t="n"/>
      <c r="L23" s="172" t="n"/>
      <c r="M23" s="172" t="n"/>
      <c r="N23" s="172" t="n"/>
      <c r="O23" s="172" t="n"/>
    </row>
    <row r="24" ht="18" customHeight="1" s="163">
      <c r="A24" s="172" t="n"/>
      <c r="B24" s="200" t="inlineStr">
        <is>
          <t>Concessional Cap (FY25)</t>
        </is>
      </c>
      <c r="C24" s="189" t="inlineStr">
        <is>
          <t>$30,000</t>
        </is>
      </c>
      <c r="D24" s="190">
        <f>"Per ATO FY"&amp;FYYear</f>
        <v/>
      </c>
      <c r="E24" s="172" t="n"/>
      <c r="F24" s="172" t="n"/>
      <c r="G24" s="172" t="n"/>
      <c r="H24" s="172" t="n"/>
      <c r="I24" s="172" t="n"/>
      <c r="J24" s="172" t="n"/>
      <c r="K24" s="172" t="n"/>
      <c r="L24" s="172" t="n"/>
      <c r="M24" s="172" t="n"/>
      <c r="N24" s="172" t="n"/>
      <c r="O24" s="172" t="n"/>
    </row>
    <row r="25" ht="18" customHeight="1" s="163">
      <c r="A25" s="172" t="n"/>
      <c r="B25" s="191" t="inlineStr">
        <is>
          <t>Non-Concessional Cap</t>
        </is>
      </c>
      <c r="C25" s="189" t="inlineStr">
        <is>
          <t>$120,000</t>
        </is>
      </c>
      <c r="D25" s="190">
        <f>"Per ATO FY"&amp;FYYear</f>
        <v/>
      </c>
      <c r="E25" s="172" t="n"/>
      <c r="F25" s="172" t="n"/>
      <c r="G25" s="172" t="n"/>
      <c r="H25" s="172" t="n"/>
      <c r="I25" s="172" t="n"/>
      <c r="J25" s="172" t="n"/>
      <c r="K25" s="172" t="n"/>
      <c r="L25" s="172" t="n"/>
      <c r="M25" s="172" t="n"/>
      <c r="N25" s="172" t="n"/>
      <c r="O25" s="172" t="n"/>
    </row>
    <row r="26" ht="15" customHeight="1" s="163">
      <c r="A26" s="172" t="n"/>
      <c r="B26" s="191" t="inlineStr">
        <is>
          <t>Super Growth Rate (planning)</t>
        </is>
      </c>
      <c r="C26" s="201" t="n">
        <v>0.07000000000000001</v>
      </c>
      <c r="D26" s="190">
        <f>"Long-run nominal return est. — adjust for fund type"</f>
        <v/>
      </c>
      <c r="E26" s="172" t="n"/>
      <c r="F26" s="172" t="n"/>
      <c r="G26" s="172" t="n"/>
      <c r="H26" s="172" t="n"/>
      <c r="I26" s="172" t="n"/>
      <c r="J26" s="172" t="n"/>
      <c r="K26" s="172" t="n"/>
      <c r="L26" s="172" t="n"/>
      <c r="M26" s="172" t="n"/>
      <c r="N26" s="172" t="n"/>
      <c r="O26" s="172" t="n"/>
    </row>
    <row r="27" ht="15" customHeight="1" s="163">
      <c r="A27" s="172" t="n"/>
      <c r="B27" s="191" t="inlineStr">
        <is>
          <t>Retirement Drawdown Rate</t>
        </is>
      </c>
      <c r="C27" s="201" t="n">
        <v>0.05</v>
      </c>
      <c r="D27" s="190">
        <f>"Annual sustainable drawdown on projected super balance"</f>
        <v/>
      </c>
      <c r="E27" s="172" t="n"/>
      <c r="F27" s="172" t="n"/>
      <c r="G27" s="172" t="n"/>
      <c r="H27" s="172" t="n"/>
      <c r="I27" s="172" t="n"/>
      <c r="J27" s="172" t="n"/>
      <c r="K27" s="172" t="n"/>
      <c r="L27" s="172" t="n"/>
      <c r="M27" s="172" t="n"/>
      <c r="N27" s="172" t="n"/>
      <c r="O27" s="172" t="n"/>
    </row>
    <row r="28" ht="18" customHeight="1" s="163">
      <c r="A28" s="172" t="n"/>
      <c r="B28" s="202" t="inlineStr">
        <is>
          <t>📋 HOW TO USE — ASSUMPTIONS</t>
        </is>
      </c>
      <c r="C28" s="203" t="n"/>
      <c r="D28" s="203" t="n"/>
      <c r="E28" s="203" t="n"/>
      <c r="F28" s="203" t="n"/>
      <c r="G28" s="203" t="n"/>
      <c r="H28" s="203" t="n"/>
      <c r="I28" s="204" t="n"/>
      <c r="J28" s="172" t="n"/>
      <c r="K28" s="172" t="n"/>
      <c r="L28" s="172" t="n"/>
      <c r="M28" s="172" t="n"/>
      <c r="N28" s="172" t="n"/>
      <c r="O28" s="172" t="n"/>
    </row>
    <row r="29" ht="36" customHeight="1" s="163">
      <c r="A29" s="172" t="n"/>
      <c r="B29" s="205" t="inlineStr">
        <is>
          <t>This is the master settings hub. Change values here and they flow automatically through the entire workbook.</t>
        </is>
      </c>
      <c r="C29" s="204" t="n"/>
      <c r="D29" s="206" t="n"/>
      <c r="E29" s="203" t="n"/>
      <c r="F29" s="203" t="n"/>
      <c r="G29" s="203" t="n"/>
      <c r="H29" s="203" t="n"/>
      <c r="I29" s="204" t="n"/>
      <c r="J29" s="172" t="n"/>
      <c r="K29" s="172" t="n"/>
      <c r="L29" s="172" t="n"/>
      <c r="M29" s="172" t="n"/>
      <c r="N29" s="172" t="n"/>
      <c r="O29" s="172" t="n"/>
    </row>
    <row r="30" ht="18" customHeight="1" s="163">
      <c r="A30" s="172" t="n"/>
      <c r="B30" s="207" t="inlineStr">
        <is>
          <t>→  Yellow cells</t>
        </is>
      </c>
      <c r="C30" s="204" t="n"/>
      <c r="D30" s="208" t="inlineStr">
        <is>
          <t>Enter your own values (names, rates, splits)</t>
        </is>
      </c>
      <c r="E30" s="203" t="n"/>
      <c r="F30" s="203" t="n"/>
      <c r="G30" s="203" t="n"/>
      <c r="H30" s="203" t="n"/>
      <c r="I30" s="204" t="n"/>
      <c r="J30" s="172" t="n"/>
      <c r="K30" s="172" t="n"/>
      <c r="L30" s="172" t="n"/>
      <c r="M30" s="172" t="n"/>
      <c r="N30" s="172" t="n"/>
      <c r="O30" s="172" t="n"/>
    </row>
    <row r="31" ht="18" customHeight="1" s="163">
      <c r="A31" s="172" t="n"/>
      <c r="B31" s="209" t="inlineStr">
        <is>
          <t>→  Financial Year</t>
        </is>
      </c>
      <c r="C31" s="204" t="n"/>
      <c r="D31" s="206" t="inlineStr">
        <is>
          <t>Update FY year each July — tax brackets and rates update automatically</t>
        </is>
      </c>
      <c r="E31" s="203" t="n"/>
      <c r="F31" s="203" t="n"/>
      <c r="G31" s="203" t="n"/>
      <c r="H31" s="203" t="n"/>
      <c r="I31" s="204" t="n"/>
      <c r="J31" s="172" t="n"/>
      <c r="K31" s="172" t="n"/>
      <c r="L31" s="172" t="n"/>
      <c r="M31" s="172" t="n"/>
      <c r="N31" s="172" t="n"/>
      <c r="O31" s="172" t="n"/>
    </row>
    <row r="32" ht="18" customHeight="1" s="163">
      <c r="A32" s="172" t="n"/>
      <c r="B32" s="210" t="inlineStr">
        <is>
          <t>→  Trust Distribution %</t>
        </is>
      </c>
      <c r="C32" s="204" t="n"/>
      <c r="D32" s="211">
        <f>"Must add up to 100%. E.g. 50% "&amp;Person1&amp;" / 50% "&amp;Person2</f>
        <v/>
      </c>
      <c r="E32" s="203" t="n"/>
      <c r="F32" s="203" t="n"/>
      <c r="G32" s="203" t="n"/>
      <c r="H32" s="203" t="n"/>
      <c r="I32" s="204" t="n"/>
      <c r="J32" s="172" t="n"/>
      <c r="K32" s="172" t="n"/>
      <c r="L32" s="172" t="n"/>
      <c r="M32" s="172" t="n"/>
      <c r="N32" s="172" t="n"/>
      <c r="O32" s="172" t="n"/>
    </row>
    <row r="33" ht="18" customHeight="1" s="163">
      <c r="A33" s="172" t="n"/>
      <c r="B33" s="209" t="inlineStr">
        <is>
          <t>→  SGC Rate</t>
        </is>
      </c>
      <c r="C33" s="204" t="n"/>
      <c r="D33" s="206">
        <f>"12% for FY "&amp;FYYear&amp;" — ATO confirmed SGC rate"</f>
        <v/>
      </c>
      <c r="E33" s="203" t="n"/>
      <c r="F33" s="203" t="n"/>
      <c r="G33" s="203" t="n"/>
      <c r="H33" s="203" t="n"/>
      <c r="I33" s="204" t="n"/>
      <c r="J33" s="172" t="n"/>
      <c r="K33" s="172" t="n"/>
      <c r="L33" s="172" t="n"/>
      <c r="M33" s="172" t="n"/>
      <c r="N33" s="172" t="n"/>
      <c r="O33" s="172" t="n"/>
    </row>
    <row r="34" ht="18" customHeight="1" s="163">
      <c r="A34" s="172" t="n"/>
      <c r="B34" s="212" t="inlineStr">
        <is>
          <t>→  Negative Gearing Eligible</t>
        </is>
      </c>
      <c r="C34" s="203" t="n"/>
      <c r="D34" s="213" t="inlineStr">
        <is>
          <t>YES = property losses deductible against all income (grandfathered properties). NO = losses quarantined to rental income only. Properties acquired after 12 May 2026 set to NO from 1 Jul 2027.</t>
        </is>
      </c>
      <c r="E34" s="203" t="n"/>
      <c r="F34" s="203" t="n"/>
      <c r="G34" s="203" t="n"/>
      <c r="H34" s="203" t="n"/>
      <c r="I34" s="203" t="n"/>
      <c r="J34" s="172" t="n"/>
      <c r="K34" s="172" t="n"/>
      <c r="L34" s="172" t="n"/>
      <c r="M34" s="172" t="n"/>
      <c r="N34" s="172" t="n"/>
      <c r="O34" s="172" t="n"/>
    </row>
    <row r="35" ht="18" customHeight="1" s="163">
      <c r="A35" s="172" t="n"/>
      <c r="B35" s="212" t="inlineStr">
        <is>
          <t>→  CGT Discount Eligible</t>
        </is>
      </c>
      <c r="C35" s="203" t="n"/>
      <c r="D35" s="213" t="inlineStr">
        <is>
          <t>YES = 50% CGT discount on sale of assets held &gt;12 months (existing properties). NO = 30% minimum tax + cost base indexation. Applies to gains accruing after 1 Jul 2027 on new acquisitions.</t>
        </is>
      </c>
      <c r="E35" s="203" t="n"/>
      <c r="F35" s="203" t="n"/>
      <c r="G35" s="203" t="n"/>
      <c r="H35" s="203" t="n"/>
      <c r="I35" s="203" t="n"/>
      <c r="J35" s="172" t="n"/>
      <c r="K35" s="172" t="n"/>
      <c r="L35" s="172" t="n"/>
      <c r="M35" s="172" t="n"/>
      <c r="N35" s="172" t="n"/>
      <c r="O35" s="172" t="n"/>
    </row>
    <row r="36" ht="21.75" customHeight="1" s="163">
      <c r="A36" s="172" t="n"/>
      <c r="B36" s="207" t="inlineStr">
        <is>
          <t>→  Green cells</t>
        </is>
      </c>
      <c r="C36" s="214" t="n"/>
      <c r="D36" s="208" t="inlineStr">
        <is>
          <t>These are reference-only — do not edit</t>
        </is>
      </c>
      <c r="E36" s="215" t="n"/>
      <c r="F36" s="215" t="n"/>
      <c r="G36" s="215" t="n"/>
      <c r="H36" s="215" t="n"/>
      <c r="I36" s="214" t="n"/>
      <c r="J36" s="172" t="n"/>
      <c r="K36" s="172" t="n"/>
      <c r="L36" s="172" t="n"/>
      <c r="M36" s="172" t="n"/>
      <c r="N36" s="172" t="n"/>
      <c r="O36" s="172" t="n"/>
    </row>
    <row r="37" ht="1.5" customHeight="1" s="163">
      <c r="A37" s="172" t="n"/>
      <c r="B37" s="209" t="inlineStr">
        <is>
          <t>💡 Tip</t>
        </is>
      </c>
      <c r="C37" s="214" t="n"/>
      <c r="D37" s="206" t="inlineStr">
        <is>
          <t>Update this tab first at the start of each financial year before touching any other tab.</t>
        </is>
      </c>
      <c r="E37" s="215" t="n"/>
      <c r="F37" s="215" t="n"/>
      <c r="G37" s="215" t="n"/>
      <c r="H37" s="215" t="n"/>
      <c r="I37" s="214" t="n"/>
      <c r="J37" s="172" t="n"/>
      <c r="K37" s="172" t="n"/>
      <c r="L37" s="172" t="n"/>
      <c r="M37" s="172" t="n"/>
      <c r="N37" s="172" t="n"/>
      <c r="O37" s="172" t="n"/>
    </row>
    <row r="38" ht="18" customHeight="1" s="163">
      <c r="A38" s="172" t="n"/>
      <c r="B38" s="216" t="n"/>
      <c r="C38" s="172" t="n"/>
      <c r="D38" s="172" t="n"/>
      <c r="E38" s="172" t="n"/>
      <c r="F38" s="172" t="n"/>
      <c r="G38" s="172" t="n"/>
      <c r="H38" s="172" t="n"/>
      <c r="I38" s="172" t="n"/>
      <c r="J38" s="172" t="n"/>
      <c r="K38" s="172" t="n"/>
      <c r="L38" s="172" t="n"/>
      <c r="M38" s="172" t="n"/>
      <c r="N38" s="172" t="n"/>
      <c r="O38" s="172" t="n"/>
    </row>
    <row r="39" ht="15" customHeight="1" s="163">
      <c r="A39" s="172" t="n"/>
      <c r="B39" s="217" t="n"/>
      <c r="C39" s="217" t="n"/>
      <c r="D39" s="217" t="n"/>
      <c r="E39" s="217" t="n"/>
      <c r="F39" s="217" t="n"/>
      <c r="G39" s="217" t="n"/>
      <c r="H39" s="217" t="n"/>
      <c r="I39" s="172" t="n"/>
      <c r="J39" s="172" t="n"/>
      <c r="K39" s="172" t="n"/>
      <c r="L39" s="172" t="n"/>
      <c r="M39" s="172" t="n"/>
      <c r="N39" s="172" t="n"/>
      <c r="O39" s="172" t="n"/>
    </row>
    <row r="40" ht="21.75" customHeight="1" s="163">
      <c r="A40" s="172" t="n"/>
      <c r="B40" s="218">
        <f>"Prepared by Baobab Consulting  ·  Commercial in Confidence — "&amp;FamilyName&amp;" Group  ·  FY "&amp;FYYear</f>
        <v/>
      </c>
      <c r="C40" s="172" t="n"/>
      <c r="D40" s="172" t="n"/>
      <c r="E40" s="172" t="n"/>
      <c r="F40" s="172" t="n"/>
      <c r="G40" s="172" t="n"/>
      <c r="H40" s="172" t="n"/>
      <c r="I40" s="172" t="n"/>
      <c r="J40" s="172" t="n"/>
      <c r="K40" s="172" t="n"/>
      <c r="L40" s="172" t="n"/>
      <c r="M40" s="172" t="n"/>
      <c r="N40" s="172" t="n"/>
      <c r="O40" s="172" t="n"/>
    </row>
    <row r="41" ht="21.75" customHeight="1" s="163">
      <c r="A41" s="172" t="n"/>
      <c r="B41" s="172" t="n"/>
      <c r="C41" s="172" t="n"/>
      <c r="D41" s="172" t="n"/>
      <c r="E41" s="172" t="n"/>
      <c r="F41" s="172" t="n"/>
      <c r="G41" s="172" t="n"/>
      <c r="H41" s="172" t="n"/>
      <c r="I41" s="172" t="n"/>
      <c r="J41" s="172" t="n"/>
      <c r="K41" s="172" t="n"/>
      <c r="L41" s="172" t="n"/>
      <c r="M41" s="172" t="n"/>
      <c r="N41" s="172" t="n"/>
      <c r="O41" s="172" t="n"/>
    </row>
    <row r="42" ht="18" customHeight="1" s="163">
      <c r="A42" s="172" t="n"/>
      <c r="B42" s="219" t="inlineStr">
        <is>
          <t>CASHFLOW &amp; TAX SETTINGS</t>
        </is>
      </c>
      <c r="C42" s="220" t="n"/>
      <c r="D42" s="220" t="n"/>
      <c r="E42" s="172" t="n"/>
      <c r="F42" s="172" t="n"/>
      <c r="G42" s="172" t="n"/>
      <c r="H42" s="172" t="n"/>
      <c r="I42" s="172" t="n"/>
      <c r="J42" s="172" t="n"/>
      <c r="K42" s="172" t="n"/>
      <c r="L42" s="172" t="n"/>
      <c r="M42" s="172" t="n"/>
      <c r="N42" s="172" t="n"/>
      <c r="O42" s="172" t="n"/>
    </row>
    <row r="43" ht="18" customHeight="1" s="163">
      <c r="A43" s="172" t="n"/>
      <c r="B43" s="221" t="inlineStr">
        <is>
          <t>Setting</t>
        </is>
      </c>
      <c r="C43" s="221" t="inlineStr">
        <is>
          <t>Value</t>
        </is>
      </c>
      <c r="D43" s="221" t="inlineStr">
        <is>
          <t>Notes</t>
        </is>
      </c>
      <c r="E43" s="172" t="n"/>
      <c r="F43" s="172" t="n"/>
      <c r="G43" s="172" t="n"/>
      <c r="H43" s="172" t="n"/>
      <c r="I43" s="172" t="n"/>
      <c r="J43" s="172" t="n"/>
      <c r="K43" s="172" t="n"/>
      <c r="L43" s="172" t="n"/>
      <c r="M43" s="172" t="n"/>
      <c r="N43" s="172" t="n"/>
      <c r="O43" s="172" t="n"/>
    </row>
    <row r="44" ht="18" customHeight="1" s="163">
      <c r="A44" s="172" t="n"/>
      <c r="B44" s="222" t="inlineStr">
        <is>
          <t>Link Cashflow to Annual Budget</t>
        </is>
      </c>
      <c r="C44" s="223" t="inlineStr">
        <is>
          <t>YES</t>
        </is>
      </c>
      <c r="D44" s="224" t="inlineStr">
        <is>
          <t>YES = auto-fill Monthly Cashflow from budgets  |  NO = manual entry</t>
        </is>
      </c>
      <c r="E44" s="172" t="n"/>
      <c r="F44" s="172" t="n"/>
      <c r="G44" s="172" t="n"/>
      <c r="H44" s="172" t="n"/>
      <c r="I44" s="172" t="n"/>
      <c r="J44" s="172" t="n"/>
      <c r="K44" s="172" t="n"/>
      <c r="L44" s="172" t="n"/>
      <c r="M44" s="172" t="n"/>
      <c r="N44" s="172" t="n"/>
      <c r="O44" s="172" t="n"/>
    </row>
    <row r="45" ht="9.75" customHeight="1" s="163">
      <c r="A45" s="172" t="n"/>
      <c r="B45" s="222" t="inlineStr">
        <is>
          <t>Dividend Franking Rate</t>
        </is>
      </c>
      <c r="C45" s="225" t="n">
        <v>1</v>
      </c>
      <c r="D45" s="224" t="inlineStr">
        <is>
          <t>1.0 = 100% fully franked (standard ASX).  0.5 = 50% franked</t>
        </is>
      </c>
      <c r="E45" s="172" t="n"/>
      <c r="F45" s="172" t="n"/>
      <c r="G45" s="172" t="n"/>
      <c r="H45" s="172" t="n"/>
      <c r="I45" s="172" t="n"/>
      <c r="J45" s="172" t="n"/>
      <c r="K45" s="172" t="n"/>
      <c r="L45" s="172" t="n"/>
      <c r="M45" s="172" t="n"/>
      <c r="N45" s="172" t="n"/>
      <c r="O45" s="172" t="n"/>
    </row>
    <row r="46" ht="19.5" customHeight="1" s="163">
      <c r="A46" s="172" t="n"/>
      <c r="B46" s="226" t="inlineStr">
        <is>
          <t>Corporate / Company Tax Rate</t>
        </is>
      </c>
      <c r="C46" s="225" t="n">
        <v>0.3</v>
      </c>
      <c r="D46" s="216" t="inlineStr">
        <is>
          <t>30% standard  |  25% for Base Rate Entity / small business (turnover &lt;$50M)</t>
        </is>
      </c>
      <c r="E46" s="172" t="n"/>
      <c r="F46" s="172" t="n"/>
      <c r="G46" s="172" t="n"/>
      <c r="H46" s="172" t="n"/>
      <c r="I46" s="172" t="n"/>
      <c r="J46" s="172" t="n"/>
      <c r="K46" s="172" t="n"/>
      <c r="L46" s="172" t="n"/>
      <c r="M46" s="172" t="n"/>
      <c r="N46" s="172" t="n"/>
      <c r="O46" s="172" t="n"/>
    </row>
    <row r="47" ht="18" customHeight="1" s="163">
      <c r="A47" s="172" t="n"/>
      <c r="B47" s="227" t="inlineStr">
        <is>
          <t>Negative Gearing Eligible</t>
        </is>
      </c>
      <c r="C47" s="225" t="inlineStr">
        <is>
          <t>YES</t>
        </is>
      </c>
      <c r="D47" s="228" t="inlineStr">
        <is>
          <t>YES = rental losses offset all income  |  NO = losses quarantined to rental income only (properties acquired after 12 May 2026)</t>
        </is>
      </c>
      <c r="E47" s="203" t="n"/>
      <c r="F47" s="203" t="n"/>
      <c r="G47" s="203" t="n"/>
      <c r="H47" s="203" t="n"/>
      <c r="I47" s="172" t="n"/>
      <c r="J47" s="172" t="n"/>
      <c r="K47" s="172" t="n"/>
      <c r="L47" s="172" t="n"/>
      <c r="M47" s="172" t="n"/>
      <c r="N47" s="172" t="n"/>
      <c r="O47" s="172" t="n"/>
    </row>
    <row r="48" ht="18" customHeight="1" s="163">
      <c r="A48" s="172" t="n"/>
      <c r="B48" s="227" t="inlineStr">
        <is>
          <t>CGT Discount Eligible</t>
        </is>
      </c>
      <c r="C48" s="229" t="inlineStr">
        <is>
          <t>YES</t>
        </is>
      </c>
      <c r="D48" s="214" t="inlineStr">
        <is>
          <t>YES = 50% CGT discount applies  |  NO = 30% min tax + indexation (gains accruing after 1 Jul 2027 on new acquisitions)</t>
        </is>
      </c>
      <c r="E48" s="203" t="n"/>
      <c r="F48" s="203" t="n"/>
      <c r="G48" s="203" t="n"/>
      <c r="H48" s="204" t="n"/>
      <c r="I48" s="172" t="n"/>
      <c r="J48" s="172" t="n"/>
      <c r="K48" s="172" t="n"/>
      <c r="L48" s="172" t="n"/>
      <c r="M48" s="172" t="n"/>
      <c r="N48" s="172" t="n"/>
      <c r="O48" s="172" t="n"/>
    </row>
    <row r="49" ht="18" customHeight="1" s="163">
      <c r="A49" s="172" t="n"/>
      <c r="B49" s="217" t="n"/>
      <c r="C49" s="217" t="n"/>
      <c r="D49" s="217" t="n"/>
      <c r="E49" s="230" t="n"/>
      <c r="F49" s="230" t="n"/>
      <c r="G49" s="230" t="n"/>
      <c r="H49" s="230" t="n"/>
      <c r="I49" s="172" t="n"/>
      <c r="J49" s="172" t="n"/>
      <c r="K49" s="172" t="n"/>
      <c r="L49" s="172" t="n"/>
      <c r="M49" s="172" t="n"/>
      <c r="N49" s="172" t="n"/>
      <c r="O49" s="172" t="n"/>
    </row>
    <row r="50" ht="18" customHeight="1" s="163">
      <c r="A50" s="172" t="n"/>
      <c r="B50" s="231" t="inlineStr">
        <is>
          <t>COLOUR GUIDE</t>
        </is>
      </c>
      <c r="C50" s="220" t="n"/>
      <c r="D50" s="220" t="n"/>
      <c r="E50" s="232" t="n"/>
      <c r="F50" s="232" t="n"/>
      <c r="G50" s="232" t="n"/>
      <c r="H50" s="232" t="n"/>
      <c r="I50" s="172" t="n"/>
      <c r="J50" s="172" t="n"/>
      <c r="K50" s="172" t="n"/>
      <c r="L50" s="172" t="n"/>
      <c r="M50" s="172" t="n"/>
      <c r="N50" s="172" t="n"/>
      <c r="O50" s="172" t="n"/>
    </row>
    <row r="51" ht="18" customHeight="1" s="163">
      <c r="A51" s="172" t="n"/>
      <c r="B51" s="233" t="inlineStr">
        <is>
          <t>Sample</t>
        </is>
      </c>
      <c r="C51" s="234" t="inlineStr">
        <is>
          <t>Warm amber with gold accent</t>
        </is>
      </c>
      <c r="D51" s="235" t="inlineStr">
        <is>
          <t>Enter your data — these cells are unlocked</t>
        </is>
      </c>
      <c r="E51" s="203" t="n"/>
      <c r="F51" s="203" t="n"/>
      <c r="G51" s="203" t="n"/>
      <c r="H51" s="203" t="n"/>
      <c r="I51" s="172" t="n"/>
      <c r="J51" s="172" t="n"/>
      <c r="K51" s="172" t="n"/>
      <c r="L51" s="172" t="n"/>
      <c r="M51" s="172" t="n"/>
      <c r="N51" s="172" t="n"/>
      <c r="O51" s="172" t="n"/>
    </row>
    <row r="52" ht="15" customHeight="1" s="163">
      <c r="A52" s="172" t="n"/>
      <c r="B52" s="236" t="inlineStr">
        <is>
          <t>Sample</t>
        </is>
      </c>
      <c r="C52" s="234" t="inlineStr">
        <is>
          <t>Sage green</t>
        </is>
      </c>
      <c r="D52" s="235" t="inlineStr">
        <is>
          <t>Calculated automatically — do not edit</t>
        </is>
      </c>
      <c r="E52" s="215" t="n"/>
      <c r="F52" s="215" t="n"/>
      <c r="G52" s="215" t="n"/>
      <c r="H52" s="215" t="n"/>
      <c r="I52" s="172" t="n"/>
      <c r="J52" s="172" t="n"/>
      <c r="K52" s="172" t="n"/>
      <c r="L52" s="172" t="n"/>
      <c r="M52" s="172" t="n"/>
      <c r="N52" s="172" t="n"/>
      <c r="O52" s="172" t="n"/>
    </row>
    <row r="53" ht="15" customHeight="1" s="163">
      <c r="A53" s="172" t="n"/>
      <c r="B53" s="237" t="inlineStr">
        <is>
          <t>Sample</t>
        </is>
      </c>
      <c r="C53" s="234" t="inlineStr">
        <is>
          <t>Deep brown</t>
        </is>
      </c>
      <c r="D53" s="235" t="inlineStr">
        <is>
          <t>Section header — use for navigation</t>
        </is>
      </c>
      <c r="E53" s="215" t="n"/>
      <c r="F53" s="215" t="n"/>
      <c r="G53" s="215" t="n"/>
      <c r="H53" s="215" t="n"/>
      <c r="I53" s="172" t="n"/>
      <c r="J53" s="172" t="n"/>
      <c r="K53" s="172" t="n"/>
      <c r="L53" s="172" t="n"/>
      <c r="M53" s="172" t="n"/>
      <c r="N53" s="172" t="n"/>
      <c r="O53" s="172" t="n"/>
    </row>
    <row r="54" ht="15" customHeight="1" s="163">
      <c r="A54" s="172" t="n"/>
      <c r="B54" s="238" t="inlineStr">
        <is>
          <t>Sample</t>
        </is>
      </c>
      <c r="C54" s="234" t="inlineStr">
        <is>
          <t>Warm gold</t>
        </is>
      </c>
      <c r="D54" s="235" t="inlineStr">
        <is>
          <t>Subtotal or grouping row</t>
        </is>
      </c>
      <c r="E54" s="215" t="n"/>
      <c r="F54" s="215" t="n"/>
      <c r="G54" s="215" t="n"/>
      <c r="H54" s="215" t="n"/>
      <c r="I54" s="172" t="n"/>
      <c r="J54" s="172" t="n"/>
      <c r="K54" s="172" t="n"/>
      <c r="L54" s="172" t="n"/>
      <c r="M54" s="172" t="n"/>
      <c r="N54" s="172" t="n"/>
      <c r="O54" s="172" t="n"/>
    </row>
    <row r="55" ht="15" customHeight="1" s="163">
      <c r="A55" s="172" t="n"/>
      <c r="B55" s="239" t="inlineStr">
        <is>
          <t>Sample</t>
        </is>
      </c>
      <c r="C55" s="234" t="inlineStr">
        <is>
          <t>Forest green</t>
        </is>
      </c>
      <c r="D55" s="235" t="inlineStr">
        <is>
          <t>Column header — identifies data type</t>
        </is>
      </c>
      <c r="E55" s="215" t="n"/>
      <c r="F55" s="215" t="n"/>
      <c r="G55" s="215" t="n"/>
      <c r="H55" s="215" t="n"/>
      <c r="I55" s="172" t="n"/>
      <c r="J55" s="172" t="n"/>
      <c r="K55" s="172" t="n"/>
      <c r="L55" s="172" t="n"/>
      <c r="M55" s="172" t="n"/>
      <c r="N55" s="172" t="n"/>
      <c r="O55" s="172" t="n"/>
    </row>
  </sheetData>
  <mergeCells count="27">
    <mergeCell ref="C1:K1"/>
    <mergeCell ref="D32:I32"/>
    <mergeCell ref="B31:C31"/>
    <mergeCell ref="D46:H46"/>
    <mergeCell ref="C2:K2"/>
    <mergeCell ref="D49:H49"/>
    <mergeCell ref="B40:D40"/>
    <mergeCell ref="B15:D15"/>
    <mergeCell ref="D30:I30"/>
    <mergeCell ref="D48:H48"/>
    <mergeCell ref="B3:K3"/>
    <mergeCell ref="D33:I33"/>
    <mergeCell ref="B29:C29"/>
    <mergeCell ref="D47:H47"/>
    <mergeCell ref="D29:I29"/>
    <mergeCell ref="B34:C34"/>
    <mergeCell ref="B28:I28"/>
    <mergeCell ref="D35:I35"/>
    <mergeCell ref="D34:I34"/>
    <mergeCell ref="B30:C30"/>
    <mergeCell ref="B33:C33"/>
    <mergeCell ref="D31:I31"/>
    <mergeCell ref="B38:H38"/>
    <mergeCell ref="D51:H51"/>
    <mergeCell ref="B32:C32"/>
    <mergeCell ref="B35:C35"/>
    <mergeCell ref="D50:H50"/>
  </mergeCells>
  <dataValidations count="4">
    <dataValidation sqref="C10" showDropDown="0" showInputMessage="1" showErrorMessage="0" allowBlank="0" promptTitle="Number of Dependants" prompt="Enter a whole number (0–10)" type="whole" errorStyle="stop" operator="between">
      <formula1>0</formula1>
      <formula2>10</formula2>
    </dataValidation>
    <dataValidation sqref="C12:C13" showDropDown="0" showInputMessage="1" showErrorMessage="0" allowBlank="0" promptTitle="Trust Distribution" prompt="Enter as decimal e.g. 0.5 = 50%" type="decimal" errorStyle="stop" operator="between">
      <formula1>0</formula1>
      <formula2>1</formula2>
    </dataValidation>
    <dataValidation sqref="C42" showDropDown="0" showInputMessage="1" showErrorMessage="1" allowBlank="0" promptTitle="Cashflow Link" prompt="Choose YES or NO" type="list" errorStyle="stop" operator="between">
      <formula1>"YES,NO"</formula1>
      <formula2>0</formula2>
    </dataValidation>
    <dataValidation sqref="C44" showDropDown="0" showInputMessage="1" showErrorMessage="1" allowBlank="0" promptTitle="Corporate Tax Rate" prompt="Enter 0.30 for 30% (standard) or 0.25 for 25% (small business BRE)" type="decimal" errorStyle="stop" operator="between">
      <formula1>0.1</formula1>
      <formula2>0.35</formula2>
    </dataValidation>
  </dataValidations>
  <printOptions horizontalCentered="0" verticalCentered="0" headings="0" gridLines="0" gridLinesSet="1"/>
  <pageMargins left="0.75" right="0.75" top="1" bottom="1" header="0.511805555555556" footer="0.511805555555556"/>
  <pageSetup orientation="portrait" paperSize="9" scale="100" fitToHeight="1" fitToWidth="1" pageOrder="downThenOver" blackAndWhite="0" draft="0" horizontalDpi="300" verticalDpi="300" copies="1"/>
  <headerFooter differentOddEven="0" differentFirst="0">
    <oddHeader>&amp;L&amp;"Calibri,Bold"&amp;9 Baobab Consulting  ·  CONFIDENTIAL&amp;R&amp;8 Page &amp;P of &amp;N  ·  FY &amp;D</oddHeader>
    <oddFooter>&amp;C&amp;"Calibri,Italic"&amp;7 © Baobab Group of Companies (Baobab CFO Pty Ltd Baobab Consulting). No unauthorised use or reproduction without prior written permission.</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filterMode="0">
    <outlinePr summaryBelow="1" summaryRight="1"/>
    <pageSetUpPr fitToPage="0"/>
  </sheetPr>
  <dimension ref="A1:Q38"/>
  <sheetViews>
    <sheetView showFormulas="0" showGridLines="0" showRowColHeaders="1" showZeros="1" rightToLeft="0" tabSelected="1" showOutlineSymbols="1" defaultGridColor="1"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C6" activeCellId="0" sqref="C6"/>
    </sheetView>
  </sheetViews>
  <sheetFormatPr baseColWidth="8" defaultColWidth="8.71484375" defaultRowHeight="15" zeroHeight="0" outlineLevelRow="0"/>
  <cols>
    <col width="2" customWidth="1" style="162" min="1" max="1"/>
    <col width="30" customWidth="1" style="162" min="2" max="2"/>
    <col width="15" customWidth="1" style="162" min="3" max="5"/>
    <col width="3" customWidth="1" style="162" min="6" max="6"/>
    <col width="30" customWidth="1" style="162" min="7" max="7"/>
    <col width="16" customWidth="1" style="162" min="8" max="8"/>
    <col width="19.14" customWidth="1" style="162" min="9" max="9"/>
    <col width="16" customWidth="1" style="162" min="10" max="10"/>
  </cols>
  <sheetData>
    <row r="1" ht="90" customHeight="1" s="163">
      <c r="A1" s="179" t="n"/>
      <c r="B1" s="179" t="n"/>
      <c r="C1" s="180">
        <f>FamilyName&amp;" Group — Household Planning Dashboard"</f>
        <v/>
      </c>
      <c r="D1" s="168" t="n"/>
      <c r="E1" s="168" t="n"/>
      <c r="F1" s="168" t="n"/>
      <c r="G1" s="168" t="n"/>
      <c r="H1" s="168" t="n"/>
      <c r="I1" s="168" t="n"/>
      <c r="J1" s="168" t="n"/>
      <c r="K1" s="168" t="n"/>
      <c r="L1" s="168" t="n"/>
      <c r="M1" s="168" t="n"/>
      <c r="N1" s="179" t="n"/>
      <c r="O1" s="179" t="n"/>
      <c r="P1" s="179" t="n"/>
      <c r="Q1" s="181" t="n"/>
    </row>
    <row r="2" ht="18" customHeight="1" s="163">
      <c r="A2" s="182" t="n"/>
      <c r="B2" s="182" t="n"/>
      <c r="C2" s="183">
        <f>"FY "&amp;FYYear&amp;"  ·  Baobab Consulting  ·  Confidential"</f>
        <v/>
      </c>
      <c r="D2" s="170" t="n"/>
      <c r="E2" s="170" t="n"/>
      <c r="F2" s="170" t="n"/>
      <c r="G2" s="170" t="n"/>
      <c r="H2" s="170" t="n"/>
      <c r="I2" s="170" t="n"/>
      <c r="J2" s="170" t="n"/>
      <c r="K2" s="170" t="n"/>
      <c r="L2" s="170" t="n"/>
      <c r="M2" s="170" t="n"/>
      <c r="N2" s="182" t="n"/>
      <c r="O2" s="182" t="n"/>
      <c r="P2" s="182" t="n"/>
      <c r="Q2" s="181" t="n"/>
    </row>
    <row r="3" ht="13.5" customHeight="1" s="163">
      <c r="A3" s="184" t="n"/>
      <c r="B3" s="171" t="inlineStr">
        <is>
          <t>© Baobab Group of Companies (incl. Baobab CFO Pty Ltd &amp; Baobab Consulting). No unauthorised use or reproduction without prior written permission.</t>
        </is>
      </c>
      <c r="C3" s="172" t="n"/>
      <c r="D3" s="172" t="n"/>
      <c r="E3" s="172" t="n"/>
      <c r="F3" s="172" t="n"/>
      <c r="G3" s="172" t="n"/>
      <c r="H3" s="172" t="n"/>
      <c r="I3" s="172" t="n"/>
      <c r="J3" s="172" t="n"/>
      <c r="K3" s="172" t="n"/>
      <c r="L3" s="172" t="n"/>
      <c r="M3" s="172" t="n"/>
      <c r="N3" s="184" t="n"/>
      <c r="O3" s="184" t="n"/>
      <c r="P3" s="184" t="n"/>
      <c r="Q3" s="181" t="n"/>
    </row>
    <row r="4" ht="30" customHeight="1" s="163">
      <c r="A4" s="172" t="n"/>
      <c r="B4" s="187" t="inlineStr">
        <is>
          <t>Category</t>
        </is>
      </c>
      <c r="C4" s="187" t="inlineStr">
        <is>
          <t>Weekly</t>
        </is>
      </c>
      <c r="D4" s="187" t="inlineStr">
        <is>
          <t>Monthly</t>
        </is>
      </c>
      <c r="E4" s="187" t="inlineStr">
        <is>
          <t>Annual</t>
        </is>
      </c>
      <c r="F4" s="172" t="n"/>
      <c r="G4" s="240" t="inlineStr">
        <is>
          <t>KEY PLANNING METRICS</t>
        </is>
      </c>
      <c r="H4" s="172" t="n"/>
      <c r="I4" s="172" t="n"/>
      <c r="J4" s="172" t="n"/>
      <c r="K4" s="172" t="n"/>
      <c r="L4" s="172" t="n"/>
      <c r="M4" s="172" t="n"/>
      <c r="N4" s="172" t="n"/>
      <c r="O4" s="172" t="n"/>
      <c r="P4" s="172" t="n"/>
      <c r="Q4" s="172" t="n"/>
    </row>
    <row r="5" ht="21.75" customHeight="1" s="163">
      <c r="A5" s="172" t="n"/>
      <c r="B5" s="185" t="inlineStr">
        <is>
          <t>INCOME</t>
        </is>
      </c>
      <c r="C5" s="198" t="n"/>
      <c r="D5" s="198" t="n"/>
      <c r="E5" s="199" t="n"/>
      <c r="F5" s="172" t="n"/>
      <c r="G5" s="191" t="inlineStr">
        <is>
          <t>Savings Rate</t>
        </is>
      </c>
      <c r="H5" s="241">
        <f>IF(E11&gt;0,(E11-E22)/E11,0)</f>
        <v/>
      </c>
      <c r="I5" s="242" t="inlineStr">
        <is>
          <t>Target: &gt;20%</t>
        </is>
      </c>
      <c r="J5" s="172" t="n"/>
      <c r="K5" s="172" t="n"/>
      <c r="L5" s="172" t="n"/>
      <c r="M5" s="172" t="n"/>
      <c r="N5" s="172" t="n"/>
      <c r="O5" s="172" t="n"/>
      <c r="P5" s="172" t="n"/>
      <c r="Q5" s="172" t="n"/>
    </row>
    <row r="6" ht="18" customHeight="1" s="163">
      <c r="A6" s="172" t="n"/>
      <c r="B6" s="191" t="inlineStr">
        <is>
          <t>Salary / Wages (net take-home)</t>
        </is>
      </c>
      <c r="C6" s="243">
        <f>'💰 Income Planning'!F22*12/52</f>
        <v/>
      </c>
      <c r="D6" s="243">
        <f>'💰 Income Planning'!F22</f>
        <v/>
      </c>
      <c r="E6" s="243">
        <f>'💰 Income Planning'!F22*12</f>
        <v/>
      </c>
      <c r="F6" s="172" t="n"/>
      <c r="G6" s="194" t="inlineStr">
        <is>
          <t>Debt Service Ratio</t>
        </is>
      </c>
      <c r="H6" s="241">
        <f>IF(E11&gt;0,('🏦 Debt Schedule'!H16+'🏦 Debt Schedule'!H24)*12/E11,0)</f>
        <v/>
      </c>
      <c r="I6" s="244" t="inlineStr">
        <is>
          <t>Target: &lt;30%</t>
        </is>
      </c>
      <c r="J6" s="172" t="n"/>
      <c r="K6" s="172" t="n"/>
      <c r="L6" s="172" t="n"/>
      <c r="M6" s="172" t="n"/>
      <c r="N6" s="172" t="n"/>
      <c r="O6" s="172" t="n"/>
      <c r="P6" s="172" t="n"/>
      <c r="Q6" s="172" t="n"/>
    </row>
    <row r="7" ht="18" customHeight="1" s="163">
      <c r="A7" s="172" t="n"/>
      <c r="B7" s="245" t="inlineStr">
        <is>
          <t>Trust / Business Income</t>
        </is>
      </c>
      <c r="C7" s="243">
        <f>'💰 Income Planning'!F10*12/52</f>
        <v/>
      </c>
      <c r="D7" s="243">
        <f>'💰 Income Planning'!F10</f>
        <v/>
      </c>
      <c r="E7" s="243">
        <f>'💰 Income Planning'!F10*12</f>
        <v/>
      </c>
      <c r="F7" s="172" t="n"/>
      <c r="G7" s="191" t="inlineStr">
        <is>
          <t>Mortgage Debt / Assets</t>
        </is>
      </c>
      <c r="H7" s="241">
        <f>IF('📈 A+L'!E5&gt;0,'📈 A+L'!F5/'📈 A+L'!E5,0)</f>
        <v/>
      </c>
      <c r="I7" s="242" t="inlineStr">
        <is>
          <t>LVR across all loans</t>
        </is>
      </c>
      <c r="J7" s="172" t="n"/>
      <c r="K7" s="172" t="n"/>
      <c r="L7" s="172" t="n"/>
      <c r="M7" s="172" t="n"/>
      <c r="N7" s="172" t="n"/>
      <c r="O7" s="172" t="n"/>
      <c r="P7" s="172" t="n"/>
      <c r="Q7" s="172" t="n"/>
    </row>
    <row r="8" ht="18" customHeight="1" s="163">
      <c r="A8" s="172" t="n"/>
      <c r="B8" s="191" t="inlineStr">
        <is>
          <t>Consulting Income</t>
        </is>
      </c>
      <c r="C8" s="243">
        <f>'💰 Income Planning'!F16*12/52</f>
        <v/>
      </c>
      <c r="D8" s="243">
        <f>'💰 Income Planning'!F16</f>
        <v/>
      </c>
      <c r="E8" s="243">
        <f>'💰 Income Planning'!F16*12</f>
        <v/>
      </c>
      <c r="F8" s="172" t="n"/>
      <c r="G8" s="194" t="inlineStr">
        <is>
          <t>Emergency Fund (months)</t>
        </is>
      </c>
      <c r="H8" s="246">
        <f>'🎯 Goals &amp; Super'!F6</f>
        <v/>
      </c>
      <c r="I8" s="244" t="inlineStr">
        <is>
          <t>Target: 3–6 months</t>
        </is>
      </c>
      <c r="J8" s="172" t="n"/>
      <c r="K8" s="172" t="n"/>
      <c r="L8" s="172" t="n"/>
      <c r="M8" s="172" t="n"/>
      <c r="N8" s="172" t="n"/>
      <c r="O8" s="172" t="n"/>
      <c r="P8" s="172" t="n"/>
      <c r="Q8" s="172" t="n"/>
    </row>
    <row r="9" ht="18" customHeight="1" s="163">
      <c r="A9" s="172" t="n"/>
      <c r="B9" s="194" t="inlineStr">
        <is>
          <t>Investment Returns</t>
        </is>
      </c>
      <c r="C9" s="243">
        <f>'💰 Income Planning'!F28*12/52</f>
        <v/>
      </c>
      <c r="D9" s="243">
        <f>'💰 Income Planning'!F28</f>
        <v/>
      </c>
      <c r="E9" s="243">
        <f>'💰 Income Planning'!F28*12</f>
        <v/>
      </c>
      <c r="F9" s="172" t="n"/>
      <c r="G9" s="191" t="inlineStr">
        <is>
          <t>Total Net Worth</t>
        </is>
      </c>
      <c r="H9" s="243">
        <f>'📈 A+L'!G5</f>
        <v/>
      </c>
      <c r="I9" s="242" t="inlineStr">
        <is>
          <t>Assets less Liabilities</t>
        </is>
      </c>
      <c r="J9" s="172" t="n"/>
      <c r="K9" s="172" t="n"/>
      <c r="L9" s="172" t="n"/>
      <c r="M9" s="172" t="n"/>
      <c r="N9" s="172" t="n"/>
      <c r="O9" s="172" t="n"/>
      <c r="P9" s="172" t="n"/>
      <c r="Q9" s="172" t="n"/>
    </row>
    <row r="10" ht="18" customHeight="1" s="163">
      <c r="A10" s="172" t="n"/>
      <c r="B10" s="191" t="inlineStr">
        <is>
          <t>Net Rental Income</t>
        </is>
      </c>
      <c r="C10" s="243">
        <f>'🏘 Rental Properties'!O11/52</f>
        <v/>
      </c>
      <c r="D10" s="243">
        <f>'🏘 Rental Properties'!O11/12</f>
        <v/>
      </c>
      <c r="E10" s="243">
        <f>'🏘 Rental Properties'!O11</f>
        <v/>
      </c>
      <c r="F10" s="172" t="n"/>
      <c r="G10" s="194">
        <f>"Super Balance — "&amp;Person1</f>
        <v/>
      </c>
      <c r="H10" s="243">
        <f>'🎯 Goals &amp; Super'!C23</f>
        <v/>
      </c>
      <c r="I10" s="244" t="inlineStr">
        <is>
          <t>See Goals &amp; Super tab</t>
        </is>
      </c>
      <c r="J10" s="172" t="n"/>
      <c r="K10" s="172" t="n"/>
      <c r="L10" s="172" t="n"/>
      <c r="M10" s="172" t="n"/>
      <c r="N10" s="172" t="n"/>
      <c r="O10" s="172" t="n"/>
      <c r="P10" s="172" t="n"/>
      <c r="Q10" s="172" t="n"/>
    </row>
    <row r="11" ht="18" customHeight="1" s="163">
      <c r="A11" s="172" t="n"/>
      <c r="B11" s="247" t="inlineStr">
        <is>
          <t>TOTAL INCOME</t>
        </is>
      </c>
      <c r="C11" s="248">
        <f>SUM(C6:C10)</f>
        <v/>
      </c>
      <c r="D11" s="248">
        <f>C11*52/12</f>
        <v/>
      </c>
      <c r="E11" s="248">
        <f>C11*52</f>
        <v/>
      </c>
      <c r="F11" s="172" t="n"/>
      <c r="G11" s="191">
        <f>"Super Balance — "&amp;Person2</f>
        <v/>
      </c>
      <c r="H11" s="243">
        <f>'🎯 Goals &amp; Super'!D23</f>
        <v/>
      </c>
      <c r="I11" s="242" t="inlineStr">
        <is>
          <t>See Goals &amp; Super tab</t>
        </is>
      </c>
      <c r="J11" s="172" t="n"/>
      <c r="K11" s="172" t="n"/>
      <c r="L11" s="172" t="n"/>
      <c r="M11" s="172" t="n"/>
      <c r="N11" s="172" t="n"/>
      <c r="O11" s="172" t="n"/>
      <c r="P11" s="172" t="n"/>
      <c r="Q11" s="172" t="n"/>
    </row>
    <row r="12" ht="18" customHeight="1" s="163">
      <c r="A12" s="172" t="n"/>
      <c r="B12" s="172" t="n"/>
      <c r="C12" s="172" t="n"/>
      <c r="D12" s="172" t="n"/>
      <c r="E12" s="172" t="n"/>
      <c r="F12" s="172" t="n"/>
      <c r="G12" s="194">
        <f>"Estimated Tax — "&amp;Person1</f>
        <v/>
      </c>
      <c r="H12" s="243">
        <f>'🧮 Tax Estimator'!C31</f>
        <v/>
      </c>
      <c r="I12" s="244">
        <f>"FY"&amp;FYYear&amp;" estimate"</f>
        <v/>
      </c>
      <c r="J12" s="172" t="n"/>
      <c r="K12" s="172" t="n"/>
      <c r="L12" s="172" t="n"/>
      <c r="M12" s="172" t="n"/>
      <c r="N12" s="172" t="n"/>
      <c r="O12" s="172" t="n"/>
      <c r="P12" s="172" t="n"/>
      <c r="Q12" s="172" t="n"/>
    </row>
    <row r="13" ht="21.75" customHeight="1" s="163">
      <c r="A13" s="172" t="n"/>
      <c r="B13" s="185" t="inlineStr">
        <is>
          <t>EXPENDITURE</t>
        </is>
      </c>
      <c r="C13" s="198" t="n"/>
      <c r="D13" s="198" t="n"/>
      <c r="E13" s="199" t="n"/>
      <c r="F13" s="172" t="n"/>
      <c r="G13" s="191">
        <f>"Estimated Tax — "&amp;Person2</f>
        <v/>
      </c>
      <c r="H13" s="243">
        <f>'🧮 Tax Estimator'!D31</f>
        <v/>
      </c>
      <c r="I13" s="242">
        <f>"FY"&amp;FYYear&amp;" estimate"</f>
        <v/>
      </c>
      <c r="J13" s="172" t="n"/>
      <c r="K13" s="172" t="n"/>
      <c r="L13" s="172" t="n"/>
      <c r="M13" s="172" t="n"/>
      <c r="N13" s="172" t="n"/>
      <c r="O13" s="172" t="n"/>
      <c r="P13" s="172" t="n"/>
      <c r="Q13" s="172" t="n"/>
    </row>
    <row r="14" ht="18" customHeight="1" s="163">
      <c r="A14" s="172" t="n"/>
      <c r="B14" s="191" t="inlineStr">
        <is>
          <t>Household Expenses</t>
        </is>
      </c>
      <c r="C14" s="243">
        <f>'🏠 Household Expenditure'!G109/52</f>
        <v/>
      </c>
      <c r="D14" s="243">
        <f>'🏠 Household Expenditure'!G109/12</f>
        <v/>
      </c>
      <c r="E14" s="243">
        <f>'🏠 Household Expenditure'!G109</f>
        <v/>
      </c>
      <c r="F14" s="172" t="n"/>
      <c r="G14" s="194" t="inlineStr">
        <is>
          <t>Annual Tax Combined</t>
        </is>
      </c>
      <c r="H14" s="243">
        <f>'🧮 Tax Estimator'!C31+'🧮 Tax Estimator'!D31+'🧮 Tax Estimator'!E31</f>
        <v/>
      </c>
      <c r="I14" s="244" t="inlineStr">
        <is>
          <t>Total tax burden</t>
        </is>
      </c>
      <c r="J14" s="172" t="n"/>
      <c r="K14" s="172" t="n"/>
      <c r="L14" s="172" t="n"/>
      <c r="M14" s="172" t="n"/>
      <c r="N14" s="172" t="n"/>
      <c r="O14" s="172" t="n"/>
      <c r="P14" s="172" t="n"/>
      <c r="Q14" s="172" t="n"/>
    </row>
    <row r="15" ht="18" customHeight="1" s="163">
      <c r="A15" s="172" t="n"/>
      <c r="B15" s="245" t="inlineStr">
        <is>
          <t>Entertainment &amp; Social</t>
        </is>
      </c>
      <c r="C15" s="243">
        <f>'🏠 Household Expenditure'!N34/52</f>
        <v/>
      </c>
      <c r="D15" s="243">
        <f>'🏠 Household Expenditure'!N34/12</f>
        <v/>
      </c>
      <c r="E15" s="243">
        <f>'🏠 Household Expenditure'!N34</f>
        <v/>
      </c>
      <c r="F15" s="172" t="n"/>
      <c r="G15" s="172" t="n"/>
      <c r="H15" s="172" t="n"/>
      <c r="I15" s="172" t="n"/>
      <c r="J15" s="172" t="n"/>
      <c r="K15" s="172" t="n"/>
      <c r="L15" s="172" t="n"/>
      <c r="M15" s="172" t="n"/>
      <c r="N15" s="172" t="n"/>
      <c r="O15" s="172" t="n"/>
      <c r="P15" s="172" t="n"/>
      <c r="Q15" s="172" t="n"/>
    </row>
    <row r="16" ht="18" customHeight="1" s="163">
      <c r="A16" s="172" t="n"/>
      <c r="B16" s="200" t="inlineStr">
        <is>
          <t>Investment Property Costs</t>
        </is>
      </c>
      <c r="C16" s="243">
        <f>'🏘 Rental Properties'!O10/52</f>
        <v/>
      </c>
      <c r="D16" s="243">
        <f>'🏘 Rental Properties'!O10/12</f>
        <v/>
      </c>
      <c r="E16" s="243">
        <f>'🏘 Rental Properties'!O10</f>
        <v/>
      </c>
      <c r="F16" s="172" t="n"/>
      <c r="G16" s="172" t="n"/>
      <c r="H16" s="172" t="n"/>
      <c r="I16" s="172" t="n"/>
      <c r="J16" s="172" t="n"/>
      <c r="K16" s="172" t="n"/>
      <c r="L16" s="172" t="n"/>
      <c r="M16" s="172" t="n"/>
      <c r="N16" s="172" t="n"/>
      <c r="O16" s="172" t="n"/>
      <c r="P16" s="172" t="n"/>
      <c r="Q16" s="172" t="n"/>
    </row>
    <row r="17" ht="18" customHeight="1" s="163">
      <c r="A17" s="172" t="n"/>
      <c r="B17" s="245" t="inlineStr">
        <is>
          <t>Debt — Investment Loans</t>
        </is>
      </c>
      <c r="C17" s="243">
        <f>('🏦 Debt Schedule'!H16*12)/52</f>
        <v/>
      </c>
      <c r="D17" s="243">
        <f>'🏦 Debt Schedule'!H16</f>
        <v/>
      </c>
      <c r="E17" s="243">
        <f>'🏦 Debt Schedule'!H16*12</f>
        <v/>
      </c>
      <c r="F17" s="172" t="n"/>
      <c r="G17" s="172" t="n"/>
      <c r="H17" s="172" t="n"/>
      <c r="I17" s="172" t="n"/>
      <c r="J17" s="172" t="n"/>
      <c r="K17" s="172" t="n"/>
      <c r="L17" s="172" t="n"/>
      <c r="M17" s="172" t="n"/>
      <c r="N17" s="172" t="n"/>
      <c r="O17" s="172" t="n"/>
      <c r="P17" s="172" t="n"/>
      <c r="Q17" s="172" t="n"/>
    </row>
    <row r="18" ht="18" customHeight="1" s="163">
      <c r="A18" s="172" t="n"/>
      <c r="B18" s="191" t="inlineStr">
        <is>
          <t>Debt — Private Loans</t>
        </is>
      </c>
      <c r="C18" s="243">
        <f>('🏦 Debt Schedule'!H24*12)/52</f>
        <v/>
      </c>
      <c r="D18" s="243">
        <f>'🏦 Debt Schedule'!H24</f>
        <v/>
      </c>
      <c r="E18" s="243">
        <f>'🏦 Debt Schedule'!H24*12</f>
        <v/>
      </c>
      <c r="F18" s="172" t="n"/>
      <c r="G18" s="172" t="n"/>
      <c r="H18" s="172" t="n"/>
      <c r="I18" s="172" t="n"/>
      <c r="J18" s="172" t="n"/>
      <c r="K18" s="172" t="n"/>
      <c r="L18" s="172" t="n"/>
      <c r="M18" s="172" t="n"/>
      <c r="N18" s="172" t="n"/>
      <c r="O18" s="172" t="n"/>
      <c r="P18" s="172" t="n"/>
      <c r="Q18" s="172" t="n"/>
    </row>
    <row r="19" ht="18" customHeight="1" s="163">
      <c r="A19" s="172" t="n"/>
      <c r="B19" s="194" t="inlineStr">
        <is>
          <t>Capital Expenditure</t>
        </is>
      </c>
      <c r="C19" s="249" t="n">
        <v>0</v>
      </c>
      <c r="D19" s="249" t="n">
        <v>0</v>
      </c>
      <c r="E19" s="249" t="n">
        <v>0</v>
      </c>
      <c r="F19" s="172" t="n"/>
      <c r="G19" s="172" t="n"/>
      <c r="H19" s="172" t="n"/>
      <c r="I19" s="172" t="n"/>
      <c r="J19" s="172" t="n"/>
      <c r="K19" s="172" t="n"/>
      <c r="L19" s="172" t="n"/>
      <c r="M19" s="172" t="n"/>
      <c r="N19" s="172" t="n"/>
      <c r="O19" s="172" t="n"/>
      <c r="P19" s="172" t="n"/>
      <c r="Q19" s="172" t="n"/>
    </row>
    <row r="20" ht="18" customHeight="1" s="163">
      <c r="A20" s="172" t="n"/>
      <c r="B20" s="200" t="inlineStr">
        <is>
          <t>Discretionary (Holidays)</t>
        </is>
      </c>
      <c r="C20" s="243">
        <f>('📅 Monthly Cashflow'!O36)/52</f>
        <v/>
      </c>
      <c r="D20" s="243">
        <f>('📅 Monthly Cashflow'!O36)/12</f>
        <v/>
      </c>
      <c r="E20" s="243">
        <f>'📅 Monthly Cashflow'!O36</f>
        <v/>
      </c>
      <c r="F20" s="172" t="n"/>
      <c r="G20" s="172" t="n"/>
      <c r="H20" s="172" t="n"/>
      <c r="I20" s="172" t="n"/>
      <c r="J20" s="172" t="n"/>
      <c r="K20" s="172" t="n"/>
      <c r="L20" s="172" t="n"/>
      <c r="M20" s="172" t="n"/>
      <c r="N20" s="172" t="n"/>
      <c r="O20" s="172" t="n"/>
      <c r="P20" s="172" t="n"/>
      <c r="Q20" s="172" t="n"/>
    </row>
    <row r="21" ht="18" customHeight="1" s="163">
      <c r="A21" s="172" t="n"/>
      <c r="B21" s="245" t="inlineStr">
        <is>
          <t>Savings / Investments</t>
        </is>
      </c>
      <c r="C21" s="243">
        <f>('📅 Monthly Cashflow'!O51)/52</f>
        <v/>
      </c>
      <c r="D21" s="243">
        <f>('📅 Monthly Cashflow'!O51)/12</f>
        <v/>
      </c>
      <c r="E21" s="243">
        <f>'📅 Monthly Cashflow'!O51</f>
        <v/>
      </c>
      <c r="F21" s="172" t="n"/>
      <c r="G21" s="172" t="n"/>
      <c r="H21" s="172" t="n"/>
      <c r="I21" s="172" t="n"/>
      <c r="J21" s="172" t="n"/>
      <c r="K21" s="172" t="n"/>
      <c r="L21" s="172" t="n"/>
      <c r="M21" s="172" t="n"/>
      <c r="N21" s="172" t="n"/>
      <c r="O21" s="172" t="n"/>
      <c r="P21" s="172" t="n"/>
      <c r="Q21" s="172" t="n"/>
    </row>
    <row r="22" ht="18" customHeight="1" s="163">
      <c r="A22" s="172" t="n"/>
      <c r="B22" s="247" t="inlineStr">
        <is>
          <t>TOTAL EXPENSES</t>
        </is>
      </c>
      <c r="C22" s="248">
        <f>SUM(C14:C21)</f>
        <v/>
      </c>
      <c r="D22" s="248">
        <f>C22*52/12</f>
        <v/>
      </c>
      <c r="E22" s="248">
        <f>C22*52</f>
        <v/>
      </c>
      <c r="F22" s="172" t="n"/>
      <c r="G22" s="172" t="n"/>
      <c r="H22" s="172" t="n"/>
      <c r="I22" s="172" t="n"/>
      <c r="J22" s="172" t="n"/>
      <c r="K22" s="172" t="n"/>
      <c r="L22" s="172" t="n"/>
      <c r="M22" s="172" t="n"/>
      <c r="N22" s="172" t="n"/>
      <c r="O22" s="172" t="n"/>
      <c r="P22" s="172" t="n"/>
      <c r="Q22" s="172" t="n"/>
    </row>
    <row r="23">
      <c r="A23" s="172" t="n"/>
      <c r="B23" s="172" t="n"/>
      <c r="C23" s="172" t="n"/>
      <c r="D23" s="172" t="n"/>
      <c r="E23" s="172" t="n"/>
      <c r="F23" s="172" t="n"/>
      <c r="G23" s="172" t="n"/>
      <c r="H23" s="172" t="n"/>
      <c r="I23" s="172" t="n"/>
      <c r="J23" s="172" t="n"/>
      <c r="K23" s="172" t="n"/>
      <c r="L23" s="172" t="n"/>
      <c r="M23" s="172" t="n"/>
      <c r="N23" s="172" t="n"/>
      <c r="O23" s="172" t="n"/>
      <c r="P23" s="172" t="n"/>
      <c r="Q23" s="172" t="n"/>
    </row>
    <row r="24" ht="21.75" customHeight="1" s="163">
      <c r="A24" s="172" t="n"/>
      <c r="B24" s="250" t="inlineStr">
        <is>
          <t>CASHFLOW SURPLUS / (DEFICIT)</t>
        </is>
      </c>
      <c r="C24" s="198" t="n"/>
      <c r="D24" s="198" t="n"/>
      <c r="E24" s="199" t="n"/>
      <c r="F24" s="172" t="n"/>
      <c r="G24" s="172" t="n"/>
      <c r="H24" s="172" t="n"/>
      <c r="I24" s="172" t="n"/>
      <c r="J24" s="172" t="n"/>
      <c r="K24" s="172" t="n"/>
      <c r="L24" s="172" t="n"/>
      <c r="M24" s="172" t="n"/>
      <c r="N24" s="172" t="n"/>
      <c r="O24" s="172" t="n"/>
      <c r="P24" s="172" t="n"/>
      <c r="Q24" s="172" t="n"/>
    </row>
    <row r="25" ht="18" customHeight="1" s="163">
      <c r="A25" s="172" t="n"/>
      <c r="B25" s="251" t="inlineStr">
        <is>
          <t>Net Cashflow</t>
        </is>
      </c>
      <c r="C25" s="252">
        <f>C11-C22</f>
        <v/>
      </c>
      <c r="D25" s="252">
        <f>C25*52/12</f>
        <v/>
      </c>
      <c r="E25" s="252">
        <f>C25*52</f>
        <v/>
      </c>
      <c r="F25" s="172" t="n"/>
      <c r="G25" s="172" t="n"/>
      <c r="H25" s="172" t="n"/>
      <c r="I25" s="172" t="n"/>
      <c r="J25" s="172" t="n"/>
      <c r="K25" s="172" t="n"/>
      <c r="L25" s="172" t="n"/>
      <c r="M25" s="172" t="n"/>
      <c r="N25" s="172" t="n"/>
      <c r="O25" s="172" t="n"/>
      <c r="P25" s="172" t="n"/>
      <c r="Q25" s="172" t="n"/>
    </row>
    <row r="26">
      <c r="A26" s="172" t="n"/>
      <c r="B26" s="172" t="n"/>
      <c r="C26" s="172" t="n"/>
      <c r="D26" s="172" t="n"/>
      <c r="E26" s="172" t="n"/>
      <c r="F26" s="172" t="n"/>
      <c r="G26" s="172" t="n"/>
      <c r="H26" s="172" t="n"/>
      <c r="I26" s="172" t="n"/>
      <c r="J26" s="172" t="n"/>
      <c r="K26" s="172" t="n"/>
      <c r="L26" s="172" t="n"/>
      <c r="M26" s="172" t="n"/>
      <c r="N26" s="172" t="n"/>
      <c r="O26" s="172" t="n"/>
      <c r="P26" s="172" t="n"/>
      <c r="Q26" s="172" t="n"/>
    </row>
    <row r="27">
      <c r="A27" s="172" t="n"/>
      <c r="B27" s="172" t="n"/>
      <c r="C27" s="172" t="n"/>
      <c r="D27" s="172" t="n"/>
      <c r="E27" s="172" t="n"/>
      <c r="F27" s="172" t="n"/>
      <c r="G27" s="172" t="n"/>
      <c r="H27" s="172" t="n"/>
      <c r="I27" s="172" t="n"/>
      <c r="J27" s="172" t="n"/>
      <c r="K27" s="172" t="n"/>
      <c r="L27" s="172" t="n"/>
      <c r="M27" s="172" t="n"/>
      <c r="N27" s="172" t="n"/>
      <c r="O27" s="172" t="n"/>
      <c r="P27" s="172" t="n"/>
      <c r="Q27" s="172" t="n"/>
    </row>
    <row r="28" ht="18" customHeight="1" s="163">
      <c r="A28" s="172" t="n"/>
      <c r="B28" s="202" t="inlineStr">
        <is>
          <t>📋 HOW TO USE — DASHBOARD</t>
        </is>
      </c>
      <c r="C28" s="203" t="n"/>
      <c r="D28" s="203" t="n"/>
      <c r="E28" s="203" t="n"/>
      <c r="F28" s="203" t="n"/>
      <c r="G28" s="203" t="n"/>
      <c r="H28" s="203" t="n"/>
      <c r="I28" s="204" t="n"/>
      <c r="J28" s="172" t="n"/>
      <c r="K28" s="172" t="n"/>
      <c r="L28" s="172" t="n"/>
      <c r="M28" s="172" t="n"/>
      <c r="N28" s="172" t="n"/>
      <c r="O28" s="172" t="n"/>
      <c r="P28" s="172" t="n"/>
      <c r="Q28" s="172" t="n"/>
    </row>
    <row r="29" ht="36" customHeight="1" s="163">
      <c r="A29" s="172" t="n"/>
      <c r="B29" s="205" t="inlineStr">
        <is>
          <t>This tab is read-only — all figures here flow automatically from the detail tabs.</t>
        </is>
      </c>
      <c r="C29" s="204" t="n"/>
      <c r="D29" s="206" t="n"/>
      <c r="E29" s="203" t="n"/>
      <c r="F29" s="203" t="n"/>
      <c r="G29" s="203" t="n"/>
      <c r="H29" s="203" t="n"/>
      <c r="I29" s="204" t="n"/>
      <c r="J29" s="172" t="n"/>
      <c r="K29" s="172" t="n"/>
      <c r="L29" s="172" t="n"/>
      <c r="M29" s="172" t="n"/>
      <c r="N29" s="172" t="n"/>
      <c r="O29" s="172" t="n"/>
      <c r="P29" s="172" t="n"/>
      <c r="Q29" s="172" t="n"/>
    </row>
    <row r="30" ht="18" customHeight="1" s="163">
      <c r="A30" s="172" t="n"/>
      <c r="B30" s="207" t="inlineStr">
        <is>
          <t>→  Purpose</t>
        </is>
      </c>
      <c r="C30" s="204" t="n"/>
      <c r="D30" s="211">
        <f>"Get a 30-second view of the "&amp;FamilyName&amp;" family’s cashflow health each meeting"</f>
        <v/>
      </c>
      <c r="E30" s="203" t="n"/>
      <c r="F30" s="203" t="n"/>
      <c r="G30" s="203" t="n"/>
      <c r="H30" s="203" t="n"/>
      <c r="I30" s="204" t="n"/>
      <c r="J30" s="172" t="n"/>
      <c r="K30" s="172" t="n"/>
      <c r="L30" s="172" t="n"/>
      <c r="M30" s="172" t="n"/>
      <c r="N30" s="172" t="n"/>
      <c r="O30" s="172" t="n"/>
      <c r="P30" s="172" t="n"/>
      <c r="Q30" s="172" t="n"/>
    </row>
    <row r="31" ht="18" customHeight="1" s="163">
      <c r="A31" s="172" t="n"/>
      <c r="B31" s="209" t="inlineStr">
        <is>
          <t>→  Savings Rate</t>
        </is>
      </c>
      <c r="C31" s="204" t="n"/>
      <c r="D31" s="206" t="inlineStr">
        <is>
          <t>Target &gt;20%. If below 10% — review household expenses first</t>
        </is>
      </c>
      <c r="E31" s="203" t="n"/>
      <c r="F31" s="203" t="n"/>
      <c r="G31" s="203" t="n"/>
      <c r="H31" s="203" t="n"/>
      <c r="I31" s="204" t="n"/>
      <c r="J31" s="172" t="n"/>
      <c r="K31" s="172" t="n"/>
      <c r="L31" s="172" t="n"/>
      <c r="M31" s="172" t="n"/>
      <c r="N31" s="172" t="n"/>
      <c r="O31" s="172" t="n"/>
      <c r="P31" s="172" t="n"/>
      <c r="Q31" s="172" t="n"/>
    </row>
    <row r="32" ht="18" customHeight="1" s="163">
      <c r="A32" s="172" t="n"/>
      <c r="B32" s="210" t="inlineStr">
        <is>
          <t>→  Debt Service Ratio</t>
        </is>
      </c>
      <c r="C32" s="204" t="n"/>
      <c r="D32" s="208" t="inlineStr">
        <is>
          <t>Target &lt;30% of income. Above 40% = financial stress zone</t>
        </is>
      </c>
      <c r="E32" s="203" t="n"/>
      <c r="F32" s="203" t="n"/>
      <c r="G32" s="203" t="n"/>
      <c r="H32" s="203" t="n"/>
      <c r="I32" s="204" t="n"/>
      <c r="J32" s="172" t="n"/>
      <c r="K32" s="172" t="n"/>
      <c r="L32" s="172" t="n"/>
      <c r="M32" s="172" t="n"/>
      <c r="N32" s="172" t="n"/>
      <c r="O32" s="172" t="n"/>
      <c r="P32" s="172" t="n"/>
      <c r="Q32" s="172" t="n"/>
    </row>
    <row r="33" ht="18" customHeight="1" s="163">
      <c r="A33" s="172" t="n"/>
      <c r="B33" s="209" t="inlineStr">
        <is>
          <t>→  Net Worth</t>
        </is>
      </c>
      <c r="C33" s="204" t="n"/>
      <c r="D33" s="206" t="inlineStr">
        <is>
          <t>Updated from the A+L tab — fill that in to see this change</t>
        </is>
      </c>
      <c r="E33" s="203" t="n"/>
      <c r="F33" s="203" t="n"/>
      <c r="G33" s="203" t="n"/>
      <c r="H33" s="203" t="n"/>
      <c r="I33" s="204" t="n"/>
      <c r="J33" s="172" t="n"/>
      <c r="K33" s="172" t="n"/>
      <c r="L33" s="172" t="n"/>
      <c r="M33" s="172" t="n"/>
      <c r="N33" s="172" t="n"/>
      <c r="O33" s="172" t="n"/>
      <c r="P33" s="172" t="n"/>
      <c r="Q33" s="172" t="n"/>
    </row>
    <row r="34" ht="18" customHeight="1" s="163">
      <c r="A34" s="172" t="n"/>
      <c r="B34" s="207" t="inlineStr">
        <is>
          <t>→  Tax Combined</t>
        </is>
      </c>
      <c r="C34" s="204" t="n"/>
      <c r="D34" s="208" t="inlineStr">
        <is>
          <t>Flows from Tax Estimator — enter income there for live estimates</t>
        </is>
      </c>
      <c r="E34" s="203" t="n"/>
      <c r="F34" s="203" t="n"/>
      <c r="G34" s="203" t="n"/>
      <c r="H34" s="203" t="n"/>
      <c r="I34" s="204" t="n"/>
      <c r="J34" s="172" t="n"/>
      <c r="K34" s="172" t="n"/>
      <c r="L34" s="172" t="n"/>
      <c r="M34" s="172" t="n"/>
      <c r="N34" s="172" t="n"/>
      <c r="O34" s="172" t="n"/>
      <c r="P34" s="172" t="n"/>
      <c r="Q34" s="172" t="n"/>
    </row>
    <row r="35" ht="18" customHeight="1" s="163">
      <c r="A35" s="172" t="n"/>
      <c r="B35" s="209" t="inlineStr">
        <is>
          <t>💡 Tip</t>
        </is>
      </c>
      <c r="C35" s="204" t="n"/>
      <c r="D35" s="206" t="inlineStr">
        <is>
          <t>Show this tab to clients at the start of each review meeting as a conversation starter.</t>
        </is>
      </c>
      <c r="E35" s="203" t="n"/>
      <c r="F35" s="203" t="n"/>
      <c r="G35" s="203" t="n"/>
      <c r="H35" s="203" t="n"/>
      <c r="I35" s="204" t="n"/>
      <c r="J35" s="172" t="n"/>
      <c r="K35" s="172" t="n"/>
      <c r="L35" s="172" t="n"/>
      <c r="M35" s="172" t="n"/>
      <c r="N35" s="172" t="n"/>
      <c r="O35" s="172" t="n"/>
      <c r="P35" s="172" t="n"/>
      <c r="Q35" s="172" t="n"/>
    </row>
    <row r="36">
      <c r="A36" s="172" t="n"/>
      <c r="B36" s="172" t="n"/>
      <c r="C36" s="172" t="n"/>
      <c r="D36" s="172" t="n"/>
      <c r="E36" s="172" t="n"/>
      <c r="F36" s="172" t="n"/>
      <c r="G36" s="172" t="n"/>
      <c r="H36" s="172" t="n"/>
      <c r="I36" s="172" t="n"/>
      <c r="J36" s="172" t="n"/>
      <c r="K36" s="172" t="n"/>
      <c r="L36" s="172" t="n"/>
      <c r="M36" s="172" t="n"/>
      <c r="N36" s="172" t="n"/>
      <c r="O36" s="172" t="n"/>
      <c r="P36" s="172" t="n"/>
      <c r="Q36" s="172" t="n"/>
    </row>
    <row r="37" ht="1.5" customHeight="1" s="163">
      <c r="A37" s="172" t="n"/>
      <c r="B37" s="217" t="n"/>
      <c r="C37" s="217" t="n"/>
      <c r="D37" s="217" t="n"/>
      <c r="E37" s="217" t="n"/>
      <c r="F37" s="217" t="n"/>
      <c r="G37" s="217" t="n"/>
      <c r="H37" s="217" t="n"/>
      <c r="I37" s="217" t="n"/>
      <c r="J37" s="217" t="n"/>
      <c r="K37" s="172" t="n"/>
      <c r="L37" s="172" t="n"/>
      <c r="M37" s="172" t="n"/>
      <c r="N37" s="172" t="n"/>
      <c r="O37" s="172" t="n"/>
      <c r="P37" s="172" t="n"/>
      <c r="Q37" s="172" t="n"/>
    </row>
    <row r="38" ht="18" customHeight="1" s="163">
      <c r="A38" s="172" t="n"/>
      <c r="B38" s="218">
        <f>"Prepared by Baobab Consulting  ·  Commercial in Confidence — "&amp;FamilyName&amp;" Group  ·  FY "&amp;FYYear</f>
        <v/>
      </c>
      <c r="C38" s="172" t="n"/>
      <c r="D38" s="172" t="n"/>
      <c r="E38" s="172" t="n"/>
      <c r="F38" s="172" t="n"/>
      <c r="G38" s="172" t="n"/>
      <c r="H38" s="172" t="n"/>
      <c r="I38" s="172" t="n"/>
      <c r="J38" s="172" t="n"/>
      <c r="K38" s="172" t="n"/>
      <c r="L38" s="172" t="n"/>
      <c r="M38" s="172" t="n"/>
      <c r="N38" s="172" t="n"/>
      <c r="O38" s="172" t="n"/>
      <c r="P38" s="172" t="n"/>
      <c r="Q38" s="172" t="n"/>
    </row>
  </sheetData>
  <mergeCells count="22">
    <mergeCell ref="D32:I32"/>
    <mergeCell ref="B24:E24"/>
    <mergeCell ref="B5:E5"/>
    <mergeCell ref="B31:C31"/>
    <mergeCell ref="B38:J38"/>
    <mergeCell ref="C1:M1"/>
    <mergeCell ref="D30:I30"/>
    <mergeCell ref="D33:I33"/>
    <mergeCell ref="B29:C29"/>
    <mergeCell ref="D29:I29"/>
    <mergeCell ref="B34:C34"/>
    <mergeCell ref="B28:I28"/>
    <mergeCell ref="C2:M2"/>
    <mergeCell ref="D35:I35"/>
    <mergeCell ref="D34:I34"/>
    <mergeCell ref="B30:C30"/>
    <mergeCell ref="B33:C33"/>
    <mergeCell ref="B3:M3"/>
    <mergeCell ref="B13:E13"/>
    <mergeCell ref="D31:I31"/>
    <mergeCell ref="B32:C32"/>
    <mergeCell ref="B35:C35"/>
  </mergeCells>
  <printOptions horizontalCentered="0" verticalCentered="0" headings="0" gridLines="0" gridLinesSet="1"/>
  <pageMargins left="0.75" right="0.75" top="1" bottom="1" header="0.511805555555556" footer="0.511805555555556"/>
  <pageSetup orientation="portrait" paperSize="9" scale="100" fitToHeight="1" fitToWidth="1" pageOrder="downThenOver" blackAndWhite="0" draft="0" horizontalDpi="300" verticalDpi="300" copies="1"/>
  <headerFooter differentOddEven="0" differentFirst="0">
    <oddHeader>&amp;L&amp;"Calibri,Bold"&amp;9 Baobab Consulting  ·  CONFIDENTIAL&amp;R&amp;8 Page &amp;P of &amp;N  ·  FY &amp;D</oddHeader>
    <oddFooter>&amp;C&amp;"Calibri,Italic"&amp;7 © Baobab Group of Companies (Baobab CFO Pty Ltd Baobab Consulting). No unauthorised use or reproduction without prior written permission.</oddFooter>
    <evenHeader/>
    <evenFooter/>
    <firstHeader/>
    <firstFooter/>
  </headerFooter>
  <drawing xmlns:r="http://schemas.openxmlformats.org/officeDocument/2006/relationships" r:id="rId1"/>
</worksheet>
</file>

<file path=xl/worksheets/sheet4.xml><?xml version="1.0" encoding="utf-8"?>
<worksheet xmlns="http://schemas.openxmlformats.org/spreadsheetml/2006/main">
  <sheetPr filterMode="0">
    <outlinePr summaryBelow="1" summaryRight="1"/>
    <pageSetUpPr fitToPage="0"/>
  </sheetPr>
  <dimension ref="A1:R44"/>
  <sheetViews>
    <sheetView showFormulas="0" showGridLines="0" showRowColHeaders="1" showZeros="1" rightToLeft="0" tabSelected="0" showOutlineSymbols="1" defaultGridColor="1" view="normal" topLeftCell="A1" colorId="64" zoomScale="100" zoomScaleNormal="100" zoomScalePageLayoutView="100" workbookViewId="0">
      <pane xSplit="1" ySplit="3" topLeftCell="B21" activePane="bottomRight" state="frozen"/>
      <selection pane="topLeft" activeCell="A1" activeCellId="0" sqref="A1"/>
      <selection pane="topRight" activeCell="B1" activeCellId="0" sqref="B1"/>
      <selection pane="bottomLeft" activeCell="A21" activeCellId="0" sqref="A21"/>
      <selection pane="bottomRight" activeCell="C20" activeCellId="0" sqref="C20"/>
    </sheetView>
  </sheetViews>
  <sheetFormatPr baseColWidth="8" defaultColWidth="8.71484375" defaultRowHeight="15" zeroHeight="0" outlineLevelRow="0"/>
  <cols>
    <col width="2" customWidth="1" style="162" min="1" max="1"/>
    <col width="30" customWidth="1" style="162" min="2" max="2"/>
    <col width="14" customWidth="1" style="162" min="3" max="6"/>
    <col width="3" customWidth="1" style="162" min="7" max="7"/>
    <col width="14" customWidth="1" style="162" min="8" max="11"/>
  </cols>
  <sheetData>
    <row r="1" ht="90" customHeight="1" s="163">
      <c r="A1" s="179" t="n"/>
      <c r="B1" s="179" t="n"/>
      <c r="C1" s="180">
        <f>FamilyName&amp;" Group — Income Planning"</f>
        <v/>
      </c>
      <c r="D1" s="168" t="n"/>
      <c r="E1" s="168" t="n"/>
      <c r="F1" s="168" t="n"/>
      <c r="G1" s="168" t="n"/>
      <c r="H1" s="168" t="n"/>
      <c r="I1" s="168" t="n"/>
      <c r="J1" s="168" t="n"/>
      <c r="K1" s="168" t="n"/>
      <c r="L1" s="168" t="n"/>
      <c r="M1" s="168" t="n"/>
      <c r="N1" s="168" t="n"/>
      <c r="O1" s="179" t="n"/>
      <c r="P1" s="179" t="n"/>
      <c r="Q1" s="179" t="n"/>
      <c r="R1" s="181" t="n"/>
    </row>
    <row r="2" ht="18" customHeight="1" s="163">
      <c r="A2" s="182" t="n"/>
      <c r="B2" s="182" t="n"/>
      <c r="C2" s="183">
        <f>"FY "&amp;FYYear&amp;"  ·  Baobab Consulting  ·  Confidential"</f>
        <v/>
      </c>
      <c r="D2" s="170" t="n"/>
      <c r="E2" s="170" t="n"/>
      <c r="F2" s="170" t="n"/>
      <c r="G2" s="170" t="n"/>
      <c r="H2" s="170" t="n"/>
      <c r="I2" s="170" t="n"/>
      <c r="J2" s="170" t="n"/>
      <c r="K2" s="170" t="n"/>
      <c r="L2" s="170" t="n"/>
      <c r="M2" s="170" t="n"/>
      <c r="N2" s="170" t="n"/>
      <c r="O2" s="182" t="n"/>
      <c r="P2" s="182" t="n"/>
      <c r="Q2" s="182" t="n"/>
      <c r="R2" s="181" t="n"/>
    </row>
    <row r="3" ht="13.5" customHeight="1" s="163">
      <c r="A3" s="184" t="n"/>
      <c r="B3" s="171" t="inlineStr">
        <is>
          <t>© Baobab Group of Companies (incl. Baobab CFO Pty Ltd &amp; Baobab Consulting). No unauthorised use or reproduction without prior written permission.</t>
        </is>
      </c>
      <c r="C3" s="172" t="n"/>
      <c r="D3" s="172" t="n"/>
      <c r="E3" s="172" t="n"/>
      <c r="F3" s="172" t="n"/>
      <c r="G3" s="172" t="n"/>
      <c r="H3" s="172" t="n"/>
      <c r="I3" s="172" t="n"/>
      <c r="J3" s="172" t="n"/>
      <c r="K3" s="172" t="n"/>
      <c r="L3" s="172" t="n"/>
      <c r="M3" s="172" t="n"/>
      <c r="N3" s="172" t="n"/>
      <c r="O3" s="184" t="n"/>
      <c r="P3" s="184" t="n"/>
      <c r="Q3" s="184" t="n"/>
      <c r="R3" s="181" t="n"/>
    </row>
    <row r="4" ht="31.5" customHeight="1" s="163">
      <c r="A4" s="172" t="n"/>
      <c r="B4" s="253" t="inlineStr">
        <is>
          <t>Income Source</t>
        </is>
      </c>
      <c r="C4" s="254">
        <f>TrustName</f>
        <v/>
      </c>
      <c r="D4" s="254">
        <f>Person1</f>
        <v/>
      </c>
      <c r="E4" s="254">
        <f>Person2</f>
        <v/>
      </c>
      <c r="F4" s="254" t="inlineStr">
        <is>
          <t>Total</t>
        </is>
      </c>
      <c r="G4" s="255" t="n"/>
      <c r="H4" s="253">
        <f>TrustName</f>
        <v/>
      </c>
      <c r="I4" s="253">
        <f>Person1</f>
        <v/>
      </c>
      <c r="J4" s="253">
        <f>Person2</f>
        <v/>
      </c>
      <c r="K4" s="253" t="inlineStr">
        <is>
          <t>Total</t>
        </is>
      </c>
      <c r="L4" s="172" t="n"/>
      <c r="M4" s="172" t="n"/>
      <c r="N4" s="172" t="n"/>
      <c r="O4" s="172" t="n"/>
      <c r="P4" s="172" t="n"/>
      <c r="Q4" s="172" t="n"/>
      <c r="R4" s="172" t="n"/>
    </row>
    <row r="5" ht="30" customHeight="1" s="163">
      <c r="A5" s="172" t="n"/>
      <c r="B5" s="256" t="n"/>
      <c r="C5" s="257" t="inlineStr">
        <is>
          <t>Monthly</t>
        </is>
      </c>
      <c r="D5" s="257" t="inlineStr">
        <is>
          <t>Monthly</t>
        </is>
      </c>
      <c r="E5" s="257" t="inlineStr">
        <is>
          <t>Monthly</t>
        </is>
      </c>
      <c r="F5" s="257" t="inlineStr">
        <is>
          <t>Monthly</t>
        </is>
      </c>
      <c r="G5" s="255" t="n"/>
      <c r="H5" s="258" t="inlineStr">
        <is>
          <t>Annual</t>
        </is>
      </c>
      <c r="I5" s="258" t="inlineStr">
        <is>
          <t>Annual</t>
        </is>
      </c>
      <c r="J5" s="258" t="inlineStr">
        <is>
          <t>Annual</t>
        </is>
      </c>
      <c r="K5" s="258" t="inlineStr">
        <is>
          <t>Annual</t>
        </is>
      </c>
      <c r="L5" s="172" t="n"/>
      <c r="M5" s="172" t="n"/>
      <c r="N5" s="172" t="n"/>
      <c r="O5" s="172" t="n"/>
      <c r="P5" s="172" t="n"/>
      <c r="Q5" s="172" t="n"/>
      <c r="R5" s="172" t="n"/>
    </row>
    <row r="6" ht="21.75" customHeight="1" s="163">
      <c r="A6" s="172" t="n"/>
      <c r="B6" s="185" t="inlineStr">
        <is>
          <t>Business Income — Dividends</t>
        </is>
      </c>
      <c r="C6" s="198" t="n"/>
      <c r="D6" s="198" t="n"/>
      <c r="E6" s="198" t="n"/>
      <c r="F6" s="198" t="n"/>
      <c r="G6" s="198" t="n"/>
      <c r="H6" s="198" t="n"/>
      <c r="I6" s="198" t="n"/>
      <c r="J6" s="198" t="n"/>
      <c r="K6" s="199" t="n"/>
      <c r="L6" s="172" t="n"/>
      <c r="M6" s="172" t="n"/>
      <c r="N6" s="172" t="n"/>
      <c r="O6" s="172" t="n"/>
      <c r="P6" s="172" t="n"/>
      <c r="Q6" s="172" t="n"/>
      <c r="R6" s="172" t="n"/>
    </row>
    <row r="7" ht="18" customHeight="1" s="163">
      <c r="A7" s="172" t="n"/>
      <c r="B7" s="194" t="inlineStr">
        <is>
          <t>Shrunk</t>
        </is>
      </c>
      <c r="C7" s="249" t="n">
        <v>0</v>
      </c>
      <c r="D7" s="249" t="n">
        <v>0</v>
      </c>
      <c r="E7" s="249" t="n">
        <v>0</v>
      </c>
      <c r="F7" s="243">
        <f>SUM(C7:E7)</f>
        <v/>
      </c>
      <c r="G7" s="255" t="n"/>
      <c r="H7" s="243">
        <f>C7*12</f>
        <v/>
      </c>
      <c r="I7" s="243">
        <f>D7*12</f>
        <v/>
      </c>
      <c r="J7" s="243">
        <f>E7*12</f>
        <v/>
      </c>
      <c r="K7" s="243">
        <f>SUM(H7:J7)</f>
        <v/>
      </c>
      <c r="L7" s="172" t="n"/>
      <c r="M7" s="172" t="n"/>
      <c r="N7" s="172" t="n"/>
      <c r="O7" s="172" t="n"/>
      <c r="P7" s="172" t="n"/>
      <c r="Q7" s="172" t="n"/>
      <c r="R7" s="172" t="n"/>
    </row>
    <row r="8" ht="18" customHeight="1" s="163">
      <c r="A8" s="172" t="n"/>
      <c r="B8" s="191" t="inlineStr">
        <is>
          <t>XXX</t>
        </is>
      </c>
      <c r="C8" s="249" t="n">
        <v>0</v>
      </c>
      <c r="D8" s="249" t="n">
        <v>0</v>
      </c>
      <c r="E8" s="249" t="n">
        <v>0</v>
      </c>
      <c r="F8" s="243">
        <f>SUM(C8:E8)</f>
        <v/>
      </c>
      <c r="G8" s="255" t="n"/>
      <c r="H8" s="243">
        <f>C8*12</f>
        <v/>
      </c>
      <c r="I8" s="243">
        <f>D8*12</f>
        <v/>
      </c>
      <c r="J8" s="243">
        <f>E8*12</f>
        <v/>
      </c>
      <c r="K8" s="243">
        <f>SUM(H8:J8)</f>
        <v/>
      </c>
      <c r="L8" s="172" t="n"/>
      <c r="M8" s="172" t="n"/>
      <c r="N8" s="172" t="n"/>
      <c r="O8" s="172" t="n"/>
      <c r="P8" s="172" t="n"/>
      <c r="Q8" s="172" t="n"/>
      <c r="R8" s="172" t="n"/>
    </row>
    <row r="9" ht="18" customHeight="1" s="163">
      <c r="A9" s="172" t="n"/>
      <c r="B9" s="194" t="inlineStr">
        <is>
          <t>Other Dividends</t>
        </is>
      </c>
      <c r="C9" s="249" t="n">
        <v>0</v>
      </c>
      <c r="D9" s="249" t="n">
        <v>0</v>
      </c>
      <c r="E9" s="249" t="n">
        <v>0</v>
      </c>
      <c r="F9" s="243">
        <f>SUM(C9:E9)</f>
        <v/>
      </c>
      <c r="G9" s="255" t="n"/>
      <c r="H9" s="243">
        <f>C9*12</f>
        <v/>
      </c>
      <c r="I9" s="243">
        <f>D9*12</f>
        <v/>
      </c>
      <c r="J9" s="243">
        <f>E9*12</f>
        <v/>
      </c>
      <c r="K9" s="243">
        <f>SUM(H9:J9)</f>
        <v/>
      </c>
      <c r="L9" s="172" t="n"/>
      <c r="M9" s="172" t="n"/>
      <c r="N9" s="172" t="n"/>
      <c r="O9" s="172" t="n"/>
      <c r="P9" s="172" t="n"/>
      <c r="Q9" s="172" t="n"/>
      <c r="R9" s="172" t="n"/>
    </row>
    <row r="10" ht="24" customHeight="1" s="163">
      <c r="A10" s="172" t="n"/>
      <c r="B10" s="259" t="inlineStr">
        <is>
          <t xml:space="preserve">  Subtotal — Business Income — Dividends</t>
        </is>
      </c>
      <c r="C10" s="248">
        <f>SUM(C7:C9)</f>
        <v/>
      </c>
      <c r="D10" s="248">
        <f>SUM(D7:D9)</f>
        <v/>
      </c>
      <c r="E10" s="248">
        <f>SUM(E7:E9)</f>
        <v/>
      </c>
      <c r="F10" s="248">
        <f>SUM(C10:E10)</f>
        <v/>
      </c>
      <c r="G10" s="255" t="n"/>
      <c r="H10" s="248">
        <f>SUM(H7:H9)</f>
        <v/>
      </c>
      <c r="I10" s="248">
        <f>SUM(I7:I9)</f>
        <v/>
      </c>
      <c r="J10" s="248">
        <f>SUM(J7:J9)</f>
        <v/>
      </c>
      <c r="K10" s="248">
        <f>SUM(H10:J10)</f>
        <v/>
      </c>
      <c r="L10" s="172" t="n"/>
      <c r="M10" s="172" t="n"/>
      <c r="N10" s="172" t="n"/>
      <c r="O10" s="172" t="n"/>
      <c r="P10" s="172" t="n"/>
      <c r="Q10" s="172" t="n"/>
      <c r="R10" s="172" t="n"/>
    </row>
    <row r="11">
      <c r="A11" s="172" t="n"/>
      <c r="B11" s="172" t="n"/>
      <c r="C11" s="172" t="n"/>
      <c r="D11" s="172" t="n"/>
      <c r="E11" s="172" t="n"/>
      <c r="F11" s="172" t="n"/>
      <c r="G11" s="172" t="n"/>
      <c r="H11" s="172" t="n"/>
      <c r="I11" s="172" t="n"/>
      <c r="J11" s="172" t="n"/>
      <c r="K11" s="172" t="n"/>
      <c r="L11" s="172" t="n"/>
      <c r="M11" s="172" t="n"/>
      <c r="N11" s="172" t="n"/>
      <c r="O11" s="172" t="n"/>
      <c r="P11" s="172" t="n"/>
      <c r="Q11" s="172" t="n"/>
      <c r="R11" s="172" t="n"/>
    </row>
    <row r="12" ht="21.75" customHeight="1" s="163">
      <c r="A12" s="172" t="n"/>
      <c r="B12" s="185" t="inlineStr">
        <is>
          <t>Consulting Income</t>
        </is>
      </c>
      <c r="C12" s="198" t="n"/>
      <c r="D12" s="198" t="n"/>
      <c r="E12" s="198" t="n"/>
      <c r="F12" s="198" t="n"/>
      <c r="G12" s="198" t="n"/>
      <c r="H12" s="198" t="n"/>
      <c r="I12" s="198" t="n"/>
      <c r="J12" s="198" t="n"/>
      <c r="K12" s="199" t="n"/>
      <c r="L12" s="172" t="n"/>
      <c r="M12" s="172" t="n"/>
      <c r="N12" s="172" t="n"/>
      <c r="O12" s="172" t="n"/>
      <c r="P12" s="172" t="n"/>
      <c r="Q12" s="172" t="n"/>
      <c r="R12" s="172" t="n"/>
    </row>
    <row r="13" ht="18" customHeight="1" s="163">
      <c r="A13" s="172" t="n"/>
      <c r="B13" s="194" t="inlineStr">
        <is>
          <t>XXX</t>
        </is>
      </c>
      <c r="C13" s="249" t="n">
        <v>0</v>
      </c>
      <c r="D13" s="249" t="n">
        <v>0</v>
      </c>
      <c r="E13" s="249" t="n">
        <v>0</v>
      </c>
      <c r="F13" s="243">
        <f>SUM(C13:E13)</f>
        <v/>
      </c>
      <c r="G13" s="255" t="n"/>
      <c r="H13" s="243">
        <f>C13*12</f>
        <v/>
      </c>
      <c r="I13" s="243">
        <f>D13*12</f>
        <v/>
      </c>
      <c r="J13" s="243">
        <f>E13*12</f>
        <v/>
      </c>
      <c r="K13" s="243">
        <f>SUM(H13:J13)</f>
        <v/>
      </c>
      <c r="L13" s="172" t="n"/>
      <c r="M13" s="172" t="n"/>
      <c r="N13" s="172" t="n"/>
      <c r="O13" s="172" t="n"/>
      <c r="P13" s="172" t="n"/>
      <c r="Q13" s="172" t="n"/>
      <c r="R13" s="172" t="n"/>
    </row>
    <row r="14" ht="18" customHeight="1" s="163">
      <c r="A14" s="172" t="n"/>
      <c r="B14" s="191" t="inlineStr">
        <is>
          <t>XXX</t>
        </is>
      </c>
      <c r="C14" s="249" t="n">
        <v>0</v>
      </c>
      <c r="D14" s="249" t="n">
        <v>0</v>
      </c>
      <c r="E14" s="249" t="n">
        <v>0</v>
      </c>
      <c r="F14" s="243">
        <f>SUM(C14:E14)</f>
        <v/>
      </c>
      <c r="G14" s="255" t="n"/>
      <c r="H14" s="243">
        <f>C14*12</f>
        <v/>
      </c>
      <c r="I14" s="243">
        <f>D14*12</f>
        <v/>
      </c>
      <c r="J14" s="243">
        <f>E14*12</f>
        <v/>
      </c>
      <c r="K14" s="243">
        <f>SUM(H14:J14)</f>
        <v/>
      </c>
      <c r="L14" s="172" t="n"/>
      <c r="M14" s="172" t="n"/>
      <c r="N14" s="172" t="n"/>
      <c r="O14" s="172" t="n"/>
      <c r="P14" s="172" t="n"/>
      <c r="Q14" s="172" t="n"/>
      <c r="R14" s="172" t="n"/>
    </row>
    <row r="15" ht="18" customHeight="1" s="163">
      <c r="A15" s="172" t="n"/>
      <c r="B15" s="194" t="inlineStr">
        <is>
          <t>Other State</t>
        </is>
      </c>
      <c r="C15" s="249" t="n">
        <v>0</v>
      </c>
      <c r="D15" s="249" t="n">
        <v>0</v>
      </c>
      <c r="E15" s="249" t="n">
        <v>0</v>
      </c>
      <c r="F15" s="243">
        <f>SUM(C15:E15)</f>
        <v/>
      </c>
      <c r="G15" s="255" t="n"/>
      <c r="H15" s="243">
        <f>C15*12</f>
        <v/>
      </c>
      <c r="I15" s="243">
        <f>D15*12</f>
        <v/>
      </c>
      <c r="J15" s="243">
        <f>E15*12</f>
        <v/>
      </c>
      <c r="K15" s="243">
        <f>SUM(H15:J15)</f>
        <v/>
      </c>
      <c r="L15" s="172" t="n"/>
      <c r="M15" s="172" t="n"/>
      <c r="N15" s="172" t="n"/>
      <c r="O15" s="172" t="n"/>
      <c r="P15" s="172" t="n"/>
      <c r="Q15" s="172" t="n"/>
      <c r="R15" s="172" t="n"/>
    </row>
    <row r="16" ht="18" customHeight="1" s="163">
      <c r="A16" s="172" t="n"/>
      <c r="B16" s="259" t="inlineStr">
        <is>
          <t xml:space="preserve">  Subtotal — Consulting Income</t>
        </is>
      </c>
      <c r="C16" s="248">
        <f>SUM(C13:C15)</f>
        <v/>
      </c>
      <c r="D16" s="248">
        <f>SUM(D13:D15)</f>
        <v/>
      </c>
      <c r="E16" s="248">
        <f>SUM(E13:E15)</f>
        <v/>
      </c>
      <c r="F16" s="248">
        <f>SUM(C16:E16)</f>
        <v/>
      </c>
      <c r="G16" s="255" t="n"/>
      <c r="H16" s="248">
        <f>SUM(H13:H15)</f>
        <v/>
      </c>
      <c r="I16" s="248">
        <f>SUM(I13:I15)</f>
        <v/>
      </c>
      <c r="J16" s="248">
        <f>SUM(J13:J15)</f>
        <v/>
      </c>
      <c r="K16" s="248">
        <f>SUM(H16:J16)</f>
        <v/>
      </c>
      <c r="L16" s="172" t="n"/>
      <c r="M16" s="172" t="n"/>
      <c r="N16" s="172" t="n"/>
      <c r="O16" s="172" t="n"/>
      <c r="P16" s="172" t="n"/>
      <c r="Q16" s="172" t="n"/>
      <c r="R16" s="172" t="n"/>
    </row>
    <row r="17">
      <c r="A17" s="172" t="n"/>
      <c r="B17" s="172" t="n"/>
      <c r="C17" s="172" t="n"/>
      <c r="D17" s="172" t="n"/>
      <c r="E17" s="172" t="n"/>
      <c r="F17" s="172" t="n"/>
      <c r="G17" s="172" t="n"/>
      <c r="H17" s="172" t="n"/>
      <c r="I17" s="172" t="n"/>
      <c r="J17" s="172" t="n"/>
      <c r="K17" s="172" t="n"/>
      <c r="L17" s="172" t="n"/>
      <c r="M17" s="172" t="n"/>
      <c r="N17" s="172" t="n"/>
      <c r="O17" s="172" t="n"/>
      <c r="P17" s="172" t="n"/>
      <c r="Q17" s="172" t="n"/>
      <c r="R17" s="172" t="n"/>
    </row>
    <row r="18" ht="21.75" customHeight="1" s="163">
      <c r="A18" s="172" t="n"/>
      <c r="B18" s="254" t="inlineStr">
        <is>
          <t>NET SALARY — Take-home Cash Received</t>
        </is>
      </c>
      <c r="C18" s="198" t="n"/>
      <c r="D18" s="198" t="n"/>
      <c r="E18" s="198" t="n"/>
      <c r="F18" s="198" t="n"/>
      <c r="G18" s="198" t="n"/>
      <c r="H18" s="198" t="n"/>
      <c r="I18" s="198" t="n"/>
      <c r="J18" s="198" t="n"/>
      <c r="K18" s="199" t="n"/>
      <c r="L18" s="172" t="n"/>
      <c r="M18" s="172" t="n"/>
      <c r="N18" s="172" t="n"/>
      <c r="O18" s="172" t="n"/>
      <c r="P18" s="172" t="n"/>
      <c r="Q18" s="172" t="n"/>
      <c r="R18" s="172" t="n"/>
    </row>
    <row r="19" ht="18" customHeight="1" s="163">
      <c r="A19" s="172" t="n"/>
      <c r="B19" s="194" t="inlineStr">
        <is>
          <t>XXX</t>
        </is>
      </c>
      <c r="C19" s="249" t="n">
        <v>0</v>
      </c>
      <c r="D19" s="249" t="n">
        <v>0</v>
      </c>
      <c r="E19" s="249" t="n">
        <v>0</v>
      </c>
      <c r="F19" s="243">
        <f>SUM(C19:E19)</f>
        <v/>
      </c>
      <c r="G19" s="255" t="n"/>
      <c r="H19" s="243">
        <f>C19*12</f>
        <v/>
      </c>
      <c r="I19" s="243">
        <f>D19*12</f>
        <v/>
      </c>
      <c r="J19" s="243">
        <f>E19*12</f>
        <v/>
      </c>
      <c r="K19" s="243">
        <f>SUM(H19:J19)</f>
        <v/>
      </c>
      <c r="L19" s="172" t="n"/>
      <c r="M19" s="172" t="n"/>
      <c r="N19" s="172" t="n"/>
      <c r="O19" s="172" t="n"/>
      <c r="P19" s="172" t="n"/>
      <c r="Q19" s="172" t="n"/>
      <c r="R19" s="172" t="n"/>
    </row>
    <row r="20" ht="18" customHeight="1" s="163">
      <c r="A20" s="172" t="n"/>
      <c r="B20" s="191" t="inlineStr">
        <is>
          <t>XXX</t>
        </is>
      </c>
      <c r="C20" s="249" t="n">
        <v>0</v>
      </c>
      <c r="D20" s="249" t="n">
        <v>0</v>
      </c>
      <c r="E20" s="249" t="n">
        <v>0</v>
      </c>
      <c r="F20" s="243">
        <f>SUM(C20:E20)</f>
        <v/>
      </c>
      <c r="G20" s="255" t="n"/>
      <c r="H20" s="243">
        <f>C20*12</f>
        <v/>
      </c>
      <c r="I20" s="243">
        <f>D20*12</f>
        <v/>
      </c>
      <c r="J20" s="243">
        <f>E20*12</f>
        <v/>
      </c>
      <c r="K20" s="243">
        <f>SUM(H20:J20)</f>
        <v/>
      </c>
      <c r="L20" s="172" t="n"/>
      <c r="M20" s="172" t="n"/>
      <c r="N20" s="172" t="n"/>
      <c r="O20" s="172" t="n"/>
      <c r="P20" s="172" t="n"/>
      <c r="Q20" s="172" t="n"/>
      <c r="R20" s="172" t="n"/>
    </row>
    <row r="21" ht="18" customHeight="1" s="163">
      <c r="A21" s="172" t="n"/>
      <c r="B21" s="194" t="inlineStr">
        <is>
          <t>Other</t>
        </is>
      </c>
      <c r="C21" s="249" t="n">
        <v>0</v>
      </c>
      <c r="D21" s="249" t="n">
        <v>0</v>
      </c>
      <c r="E21" s="249" t="n">
        <v>0</v>
      </c>
      <c r="F21" s="243">
        <f>SUM(C21:E21)</f>
        <v/>
      </c>
      <c r="G21" s="255" t="n"/>
      <c r="H21" s="243">
        <f>C21*12</f>
        <v/>
      </c>
      <c r="I21" s="243">
        <f>D21*12</f>
        <v/>
      </c>
      <c r="J21" s="243">
        <f>E21*12</f>
        <v/>
      </c>
      <c r="K21" s="243">
        <f>SUM(H21:J21)</f>
        <v/>
      </c>
      <c r="L21" s="172" t="n"/>
      <c r="M21" s="172" t="n"/>
      <c r="N21" s="172" t="n"/>
      <c r="O21" s="172" t="n"/>
      <c r="P21" s="172" t="n"/>
      <c r="Q21" s="172" t="n"/>
      <c r="R21" s="172" t="n"/>
    </row>
    <row r="22" ht="18" customHeight="1" s="163">
      <c r="A22" s="172" t="n"/>
      <c r="B22" s="259" t="inlineStr">
        <is>
          <t xml:space="preserve">  Subtotal — Net Salary / Wages</t>
        </is>
      </c>
      <c r="C22" s="248">
        <f>SUM(C19:C21)</f>
        <v/>
      </c>
      <c r="D22" s="248">
        <f>SUM(D19:D21)</f>
        <v/>
      </c>
      <c r="E22" s="248">
        <f>SUM(E19:E21)</f>
        <v/>
      </c>
      <c r="F22" s="248">
        <f>SUM(C22:E22)</f>
        <v/>
      </c>
      <c r="G22" s="255" t="n"/>
      <c r="H22" s="248">
        <f>SUM(H19:H21)</f>
        <v/>
      </c>
      <c r="I22" s="248">
        <f>SUM(I19:I21)</f>
        <v/>
      </c>
      <c r="J22" s="248">
        <f>SUM(J19:J21)</f>
        <v/>
      </c>
      <c r="K22" s="248">
        <f>SUM(H22:J22)</f>
        <v/>
      </c>
      <c r="L22" s="172" t="n"/>
      <c r="M22" s="172" t="n"/>
      <c r="N22" s="172" t="n"/>
      <c r="O22" s="172" t="n"/>
      <c r="P22" s="172" t="n"/>
      <c r="Q22" s="172" t="n"/>
      <c r="R22" s="172" t="n"/>
    </row>
    <row r="23">
      <c r="A23" s="172" t="n"/>
      <c r="B23" s="172" t="n"/>
      <c r="C23" s="172" t="n"/>
      <c r="D23" s="172" t="n"/>
      <c r="E23" s="172" t="n"/>
      <c r="F23" s="172" t="n"/>
      <c r="G23" s="172" t="n"/>
      <c r="H23" s="172" t="n"/>
      <c r="I23" s="172" t="n"/>
      <c r="J23" s="172" t="n"/>
      <c r="K23" s="172" t="n"/>
      <c r="L23" s="172" t="n"/>
      <c r="M23" s="172" t="n"/>
      <c r="N23" s="172" t="n"/>
      <c r="O23" s="172" t="n"/>
      <c r="P23" s="172" t="n"/>
      <c r="Q23" s="172" t="n"/>
      <c r="R23" s="172" t="n"/>
    </row>
    <row r="24" ht="21.75" customHeight="1" s="163">
      <c r="A24" s="172" t="n"/>
      <c r="B24" s="185" t="inlineStr">
        <is>
          <t>Investment Income</t>
        </is>
      </c>
      <c r="C24" s="198" t="n"/>
      <c r="D24" s="198" t="n"/>
      <c r="E24" s="198" t="n"/>
      <c r="F24" s="198" t="n"/>
      <c r="G24" s="198" t="n"/>
      <c r="H24" s="198" t="n"/>
      <c r="I24" s="198" t="n"/>
      <c r="J24" s="198" t="n"/>
      <c r="K24" s="199" t="n"/>
      <c r="L24" s="172" t="n"/>
      <c r="M24" s="172" t="n"/>
      <c r="N24" s="172" t="n"/>
      <c r="O24" s="172" t="n"/>
      <c r="P24" s="172" t="n"/>
      <c r="Q24" s="172" t="n"/>
      <c r="R24" s="172" t="n"/>
    </row>
    <row r="25" ht="18" customHeight="1" s="163">
      <c r="A25" s="172" t="n"/>
      <c r="B25" s="245" t="inlineStr">
        <is>
          <t>Dividend Income (cash received)</t>
        </is>
      </c>
      <c r="C25" s="249" t="n">
        <v>0</v>
      </c>
      <c r="D25" s="249" t="n">
        <v>0</v>
      </c>
      <c r="E25" s="249" t="n">
        <v>0</v>
      </c>
      <c r="F25" s="243">
        <f>SUM(C25:E25)</f>
        <v/>
      </c>
      <c r="G25" s="255" t="n"/>
      <c r="H25" s="243">
        <f>C25*12</f>
        <v/>
      </c>
      <c r="I25" s="243">
        <f>D25*12</f>
        <v/>
      </c>
      <c r="J25" s="243">
        <f>E25*12</f>
        <v/>
      </c>
      <c r="K25" s="243">
        <f>SUM(H25:J25)</f>
        <v/>
      </c>
      <c r="L25" s="172" t="n"/>
      <c r="M25" s="172" t="n"/>
      <c r="N25" s="172" t="n"/>
      <c r="O25" s="172" t="n"/>
      <c r="P25" s="172" t="n"/>
      <c r="Q25" s="172" t="n"/>
      <c r="R25" s="172" t="n"/>
    </row>
    <row r="26" ht="18" customHeight="1" s="163">
      <c r="A26" s="172" t="n"/>
      <c r="B26" s="191" t="inlineStr">
        <is>
          <t>Interest Income</t>
        </is>
      </c>
      <c r="C26" s="249" t="n">
        <v>0</v>
      </c>
      <c r="D26" s="249" t="n">
        <v>0</v>
      </c>
      <c r="E26" s="249" t="n">
        <v>0</v>
      </c>
      <c r="F26" s="243">
        <f>SUM(C26:E26)</f>
        <v/>
      </c>
      <c r="G26" s="255" t="n"/>
      <c r="H26" s="243">
        <f>C26*12</f>
        <v/>
      </c>
      <c r="I26" s="243">
        <f>D26*12</f>
        <v/>
      </c>
      <c r="J26" s="243">
        <f>E26*12</f>
        <v/>
      </c>
      <c r="K26" s="243">
        <f>SUM(H26:J26)</f>
        <v/>
      </c>
      <c r="L26" s="172" t="n"/>
      <c r="M26" s="172" t="n"/>
      <c r="N26" s="172" t="n"/>
      <c r="O26" s="172" t="n"/>
      <c r="P26" s="172" t="n"/>
      <c r="Q26" s="172" t="n"/>
      <c r="R26" s="172" t="n"/>
    </row>
    <row r="27" ht="18" customHeight="1" s="163">
      <c r="A27" s="172" t="n"/>
      <c r="B27" s="194" t="inlineStr">
        <is>
          <t>Other Investment</t>
        </is>
      </c>
      <c r="C27" s="249" t="n">
        <v>0</v>
      </c>
      <c r="D27" s="249" t="n">
        <v>0</v>
      </c>
      <c r="E27" s="249" t="n">
        <v>0</v>
      </c>
      <c r="F27" s="243">
        <f>SUM(C27:E27)</f>
        <v/>
      </c>
      <c r="G27" s="255" t="n"/>
      <c r="H27" s="243">
        <f>C27*12</f>
        <v/>
      </c>
      <c r="I27" s="243">
        <f>D27*12</f>
        <v/>
      </c>
      <c r="J27" s="243">
        <f>E27*12</f>
        <v/>
      </c>
      <c r="K27" s="243">
        <f>SUM(H27:J27)</f>
        <v/>
      </c>
      <c r="L27" s="172" t="n"/>
      <c r="M27" s="172" t="n"/>
      <c r="N27" s="172" t="n"/>
      <c r="O27" s="172" t="n"/>
      <c r="P27" s="172" t="n"/>
      <c r="Q27" s="172" t="n"/>
      <c r="R27" s="172" t="n"/>
    </row>
    <row r="28" ht="18" customHeight="1" s="163">
      <c r="A28" s="172" t="n"/>
      <c r="B28" s="259" t="inlineStr">
        <is>
          <t xml:space="preserve">  Subtotal — Investment Income</t>
        </is>
      </c>
      <c r="C28" s="248">
        <f>SUM(C25:C27)</f>
        <v/>
      </c>
      <c r="D28" s="248">
        <f>SUM(D25:D27)</f>
        <v/>
      </c>
      <c r="E28" s="248">
        <f>SUM(E25:E27)</f>
        <v/>
      </c>
      <c r="F28" s="248">
        <f>SUM(C28:E28)</f>
        <v/>
      </c>
      <c r="G28" s="255" t="n"/>
      <c r="H28" s="248">
        <f>SUM(H25:H27)</f>
        <v/>
      </c>
      <c r="I28" s="248">
        <f>SUM(I25:I27)</f>
        <v/>
      </c>
      <c r="J28" s="248">
        <f>SUM(J25:J27)</f>
        <v/>
      </c>
      <c r="K28" s="248">
        <f>SUM(H28:J28)</f>
        <v/>
      </c>
      <c r="L28" s="172" t="n"/>
      <c r="M28" s="172" t="n"/>
      <c r="N28" s="172" t="n"/>
      <c r="O28" s="172" t="n"/>
      <c r="P28" s="172" t="n"/>
      <c r="Q28" s="172" t="n"/>
      <c r="R28" s="172" t="n"/>
    </row>
    <row r="29">
      <c r="A29" s="172" t="n"/>
      <c r="B29" s="172" t="n"/>
      <c r="C29" s="172" t="n"/>
      <c r="D29" s="172" t="n"/>
      <c r="E29" s="172" t="n"/>
      <c r="F29" s="172" t="n"/>
      <c r="G29" s="172" t="n"/>
      <c r="H29" s="172" t="n"/>
      <c r="I29" s="172" t="n"/>
      <c r="J29" s="172" t="n"/>
      <c r="K29" s="172" t="n"/>
      <c r="L29" s="172" t="n"/>
      <c r="M29" s="172" t="n"/>
      <c r="N29" s="172" t="n"/>
      <c r="O29" s="172" t="n"/>
      <c r="P29" s="172" t="n"/>
      <c r="Q29" s="172" t="n"/>
      <c r="R29" s="172" t="n"/>
    </row>
    <row r="30" ht="21.75" customHeight="1" s="163">
      <c r="A30" s="172" t="n"/>
      <c r="B30" s="186" t="inlineStr">
        <is>
          <t>TOTAL CASH INCOME</t>
        </is>
      </c>
      <c r="C30" s="198" t="n"/>
      <c r="D30" s="198" t="n"/>
      <c r="E30" s="198" t="n"/>
      <c r="F30" s="198" t="n"/>
      <c r="G30" s="198" t="n"/>
      <c r="H30" s="198" t="n"/>
      <c r="I30" s="198" t="n"/>
      <c r="J30" s="198" t="n"/>
      <c r="K30" s="199" t="n"/>
      <c r="L30" s="172" t="n"/>
      <c r="M30" s="172" t="n"/>
      <c r="N30" s="172" t="n"/>
      <c r="O30" s="172" t="n"/>
      <c r="P30" s="172" t="n"/>
      <c r="Q30" s="172" t="n"/>
      <c r="R30" s="172" t="n"/>
    </row>
    <row r="31" ht="18" customHeight="1" s="163">
      <c r="A31" s="172" t="n"/>
      <c r="B31" s="247" t="inlineStr">
        <is>
          <t>TOTAL</t>
        </is>
      </c>
      <c r="C31" s="248">
        <f>C10+C16+C22+C28</f>
        <v/>
      </c>
      <c r="D31" s="248">
        <f>D10+D16+D22+D28</f>
        <v/>
      </c>
      <c r="E31" s="248">
        <f>E10+E16+E22+E28</f>
        <v/>
      </c>
      <c r="F31" s="248">
        <f>SUM(C31:E31)</f>
        <v/>
      </c>
      <c r="G31" s="255" t="n"/>
      <c r="H31" s="248">
        <f>H10+H16+H22+H28</f>
        <v/>
      </c>
      <c r="I31" s="248">
        <f>I10+I16+I22+I28</f>
        <v/>
      </c>
      <c r="J31" s="248">
        <f>J10+J16+J22+J28</f>
        <v/>
      </c>
      <c r="K31" s="248">
        <f>SUM(H31:J31)</f>
        <v/>
      </c>
      <c r="L31" s="172" t="n"/>
      <c r="M31" s="172" t="n"/>
      <c r="N31" s="172" t="n"/>
      <c r="O31" s="172" t="n"/>
      <c r="P31" s="172" t="n"/>
      <c r="Q31" s="172" t="n"/>
      <c r="R31" s="172" t="n"/>
    </row>
    <row r="32">
      <c r="A32" s="172" t="n"/>
      <c r="B32" s="172" t="n"/>
      <c r="C32" s="172" t="n"/>
      <c r="D32" s="172" t="n"/>
      <c r="E32" s="172" t="n"/>
      <c r="F32" s="172" t="n"/>
      <c r="G32" s="172" t="n"/>
      <c r="H32" s="172" t="n"/>
      <c r="I32" s="172" t="n"/>
      <c r="J32" s="172" t="n"/>
      <c r="K32" s="172" t="n"/>
      <c r="L32" s="172" t="n"/>
      <c r="M32" s="172" t="n"/>
      <c r="N32" s="172" t="n"/>
      <c r="O32" s="172" t="n"/>
      <c r="P32" s="172" t="n"/>
      <c r="Q32" s="172" t="n"/>
      <c r="R32" s="172" t="n"/>
    </row>
    <row r="33">
      <c r="A33" s="172" t="n"/>
      <c r="B33" s="172" t="n"/>
      <c r="C33" s="172" t="n"/>
      <c r="D33" s="172" t="n"/>
      <c r="E33" s="172" t="n"/>
      <c r="F33" s="172" t="n"/>
      <c r="G33" s="172" t="n"/>
      <c r="H33" s="172" t="n"/>
      <c r="I33" s="172" t="n"/>
      <c r="J33" s="172" t="n"/>
      <c r="K33" s="172" t="n"/>
      <c r="L33" s="172" t="n"/>
      <c r="M33" s="172" t="n"/>
      <c r="N33" s="172" t="n"/>
      <c r="O33" s="172" t="n"/>
      <c r="P33" s="172" t="n"/>
      <c r="Q33" s="172" t="n"/>
      <c r="R33" s="172" t="n"/>
    </row>
    <row r="34" ht="18" customHeight="1" s="163">
      <c r="A34" s="172" t="n"/>
      <c r="B34" s="202" t="inlineStr">
        <is>
          <t>📋 HOW TO USE — INCOME PLANNING</t>
        </is>
      </c>
      <c r="C34" s="203" t="n"/>
      <c r="D34" s="203" t="n"/>
      <c r="E34" s="203" t="n"/>
      <c r="F34" s="203" t="n"/>
      <c r="G34" s="203" t="n"/>
      <c r="H34" s="203" t="n"/>
      <c r="I34" s="204" t="n"/>
      <c r="J34" s="172" t="n"/>
      <c r="K34" s="172" t="n"/>
      <c r="L34" s="172" t="n"/>
      <c r="M34" s="172" t="n"/>
      <c r="N34" s="172" t="n"/>
      <c r="O34" s="172" t="n"/>
      <c r="P34" s="172" t="n"/>
      <c r="Q34" s="172" t="n"/>
      <c r="R34" s="172" t="n"/>
    </row>
    <row r="35" ht="36" customHeight="1" s="163">
      <c r="A35" s="172" t="n"/>
      <c r="B35" s="205" t="inlineStr">
        <is>
          <t>Record NET income received in your bank account. SALARY = take-home after tax and super deducted.  Enter as MONTHLY amounts — annual figures auto-calculate on the right.</t>
        </is>
      </c>
      <c r="C35" s="204" t="n"/>
      <c r="D35" s="206" t="n"/>
      <c r="E35" s="203" t="n"/>
      <c r="F35" s="203" t="n"/>
      <c r="G35" s="203" t="n"/>
      <c r="H35" s="203" t="n"/>
      <c r="I35" s="204" t="n"/>
      <c r="J35" s="172" t="n"/>
      <c r="K35" s="172" t="n"/>
      <c r="L35" s="172" t="n"/>
      <c r="M35" s="172" t="n"/>
      <c r="N35" s="172" t="n"/>
      <c r="O35" s="172" t="n"/>
      <c r="P35" s="172" t="n"/>
      <c r="Q35" s="172" t="n"/>
      <c r="R35" s="172" t="n"/>
    </row>
    <row r="36" ht="36" customHeight="1" s="163">
      <c r="A36" s="172" t="n"/>
      <c r="B36" s="210" t="inlineStr">
        <is>
          <t>→ Columns C/D/E = Trust / Person 1 / Person 2 monthly NET amounts (take-home cash)</t>
        </is>
      </c>
      <c r="C36" s="204" t="n"/>
      <c r="D36" s="211">
        <f>"Monthly amounts: Trust | "&amp;Person1&amp;" | "&amp;Person2&amp;"  (amber cells = enter here)"</f>
        <v/>
      </c>
      <c r="E36" s="203" t="n"/>
      <c r="F36" s="203" t="n"/>
      <c r="G36" s="203" t="n"/>
      <c r="H36" s="203" t="n"/>
      <c r="I36" s="204" t="n"/>
      <c r="J36" s="172" t="n"/>
      <c r="K36" s="172" t="n"/>
      <c r="L36" s="172" t="n"/>
      <c r="M36" s="172" t="n"/>
      <c r="N36" s="172" t="n"/>
      <c r="O36" s="172" t="n"/>
      <c r="P36" s="172" t="n"/>
      <c r="Q36" s="172" t="n"/>
      <c r="R36" s="172" t="n"/>
    </row>
    <row r="37" ht="18" customHeight="1" s="163">
      <c r="A37" s="172" t="n"/>
      <c r="B37" s="209" t="inlineStr">
        <is>
          <t>→  Column F</t>
        </is>
      </c>
      <c r="C37" s="204" t="n"/>
      <c r="D37" s="206" t="inlineStr">
        <is>
          <t>Total monthly — auto-calculated from C+D+E</t>
        </is>
      </c>
      <c r="E37" s="203" t="n"/>
      <c r="F37" s="203" t="n"/>
      <c r="G37" s="203" t="n"/>
      <c r="H37" s="203" t="n"/>
      <c r="I37" s="204" t="n"/>
      <c r="J37" s="172" t="n"/>
      <c r="K37" s="172" t="n"/>
      <c r="L37" s="172" t="n"/>
      <c r="M37" s="172" t="n"/>
      <c r="N37" s="172" t="n"/>
      <c r="O37" s="172" t="n"/>
      <c r="P37" s="172" t="n"/>
      <c r="Q37" s="172" t="n"/>
      <c r="R37" s="172" t="n"/>
    </row>
    <row r="38" ht="18" customHeight="1" s="163">
      <c r="A38" s="172" t="n"/>
      <c r="B38" s="207" t="inlineStr">
        <is>
          <t>→  Columns H–K</t>
        </is>
      </c>
      <c r="C38" s="204" t="n"/>
      <c r="D38" s="208" t="inlineStr">
        <is>
          <t>Annual equivalents — auto-calculated × 12 from monthly</t>
        </is>
      </c>
      <c r="E38" s="203" t="n"/>
      <c r="F38" s="203" t="n"/>
      <c r="G38" s="203" t="n"/>
      <c r="H38" s="203" t="n"/>
      <c r="I38" s="204" t="n"/>
      <c r="J38" s="172" t="n"/>
      <c r="K38" s="172" t="n"/>
      <c r="L38" s="172" t="n"/>
      <c r="M38" s="172" t="n"/>
      <c r="N38" s="172" t="n"/>
      <c r="O38" s="172" t="n"/>
      <c r="P38" s="172" t="n"/>
      <c r="Q38" s="172" t="n"/>
      <c r="R38" s="172" t="n"/>
    </row>
    <row r="39" ht="18" customHeight="1" s="163">
      <c r="A39" s="172" t="n"/>
      <c r="B39" s="209" t="inlineStr">
        <is>
          <t>→  Franking Credits</t>
        </is>
      </c>
      <c r="C39" s="204" t="n"/>
      <c r="D39" s="206" t="inlineStr">
        <is>
          <t>Include grossed-up value — important for Tax Estimator accuracy</t>
        </is>
      </c>
      <c r="E39" s="203" t="n"/>
      <c r="F39" s="203" t="n"/>
      <c r="G39" s="203" t="n"/>
      <c r="H39" s="203" t="n"/>
      <c r="I39" s="204" t="n"/>
      <c r="J39" s="172" t="n"/>
      <c r="K39" s="172" t="n"/>
      <c r="L39" s="172" t="n"/>
      <c r="M39" s="172" t="n"/>
      <c r="N39" s="172" t="n"/>
      <c r="O39" s="172" t="n"/>
      <c r="P39" s="172" t="n"/>
      <c r="Q39" s="172" t="n"/>
      <c r="R39" s="172" t="n"/>
    </row>
    <row r="40" ht="18" customHeight="1" s="163">
      <c r="A40" s="172" t="n"/>
      <c r="B40" s="207" t="inlineStr">
        <is>
          <t>→  Net Salary</t>
        </is>
      </c>
      <c r="C40" s="204" t="n"/>
      <c r="D40" s="208" t="inlineStr">
        <is>
          <t>Enter after-tax take-home pay here. Use Tax Estimator for gross income</t>
        </is>
      </c>
      <c r="E40" s="203" t="n"/>
      <c r="F40" s="203" t="n"/>
      <c r="G40" s="203" t="n"/>
      <c r="H40" s="203" t="n"/>
      <c r="I40" s="204" t="n"/>
      <c r="J40" s="172" t="n"/>
      <c r="K40" s="172" t="n"/>
      <c r="L40" s="172" t="n"/>
      <c r="M40" s="172" t="n"/>
      <c r="N40" s="172" t="n"/>
      <c r="O40" s="172" t="n"/>
      <c r="P40" s="172" t="n"/>
      <c r="Q40" s="172" t="n"/>
      <c r="R40" s="172" t="n"/>
    </row>
    <row r="41" ht="18" customHeight="1" s="163">
      <c r="A41" s="172" t="n"/>
      <c r="B41" s="209" t="inlineStr">
        <is>
          <t>💡 Tip</t>
        </is>
      </c>
      <c r="C41" s="204" t="n"/>
      <c r="D41" s="206" t="inlineStr">
        <is>
          <t>Enter zero ('0') not blank for unused income sources — this prevents formula errors.</t>
        </is>
      </c>
      <c r="E41" s="203" t="n"/>
      <c r="F41" s="203" t="n"/>
      <c r="G41" s="203" t="n"/>
      <c r="H41" s="203" t="n"/>
      <c r="I41" s="204" t="n"/>
      <c r="J41" s="172" t="n"/>
      <c r="K41" s="172" t="n"/>
      <c r="L41" s="172" t="n"/>
      <c r="M41" s="172" t="n"/>
      <c r="N41" s="172" t="n"/>
      <c r="O41" s="172" t="n"/>
      <c r="P41" s="172" t="n"/>
      <c r="Q41" s="172" t="n"/>
      <c r="R41" s="172" t="n"/>
    </row>
    <row r="42">
      <c r="A42" s="172" t="n"/>
      <c r="B42" s="172" t="n"/>
      <c r="C42" s="172" t="n"/>
      <c r="D42" s="172" t="n"/>
      <c r="E42" s="172" t="n"/>
      <c r="F42" s="172" t="n"/>
      <c r="G42" s="172" t="n"/>
      <c r="H42" s="172" t="n"/>
      <c r="I42" s="172" t="n"/>
      <c r="J42" s="172" t="n"/>
      <c r="K42" s="172" t="n"/>
      <c r="L42" s="172" t="n"/>
      <c r="M42" s="172" t="n"/>
      <c r="N42" s="172" t="n"/>
      <c r="O42" s="172" t="n"/>
      <c r="P42" s="172" t="n"/>
      <c r="Q42" s="172" t="n"/>
      <c r="R42" s="172" t="n"/>
    </row>
    <row r="43" ht="1.5" customHeight="1" s="163">
      <c r="A43" s="172" t="n"/>
      <c r="B43" s="217" t="n"/>
      <c r="C43" s="217" t="n"/>
      <c r="D43" s="217" t="n"/>
      <c r="E43" s="217" t="n"/>
      <c r="F43" s="217" t="n"/>
      <c r="G43" s="217" t="n"/>
      <c r="H43" s="217" t="n"/>
      <c r="I43" s="217" t="n"/>
      <c r="J43" s="217" t="n"/>
      <c r="K43" s="217" t="n"/>
      <c r="L43" s="172" t="n"/>
      <c r="M43" s="172" t="n"/>
      <c r="N43" s="172" t="n"/>
      <c r="O43" s="172" t="n"/>
      <c r="P43" s="172" t="n"/>
      <c r="Q43" s="172" t="n"/>
      <c r="R43" s="172" t="n"/>
    </row>
    <row r="44" ht="18" customHeight="1" s="163">
      <c r="A44" s="172" t="n"/>
      <c r="B44" s="218">
        <f>"Prepared by Baobab Consulting  ·  Commercial in Confidence — "&amp;FamilyName&amp;" Group  ·  FY "&amp;FYYear</f>
        <v/>
      </c>
      <c r="C44" s="172" t="n"/>
      <c r="D44" s="172" t="n"/>
      <c r="E44" s="172" t="n"/>
      <c r="F44" s="172" t="n"/>
      <c r="G44" s="172" t="n"/>
      <c r="H44" s="172" t="n"/>
      <c r="I44" s="172" t="n"/>
      <c r="J44" s="172" t="n"/>
      <c r="K44" s="172" t="n"/>
      <c r="L44" s="172" t="n"/>
      <c r="M44" s="172" t="n"/>
      <c r="N44" s="172" t="n"/>
      <c r="O44" s="172" t="n"/>
      <c r="P44" s="172" t="n"/>
      <c r="Q44" s="172" t="n"/>
      <c r="R44" s="172" t="n"/>
    </row>
  </sheetData>
  <mergeCells count="24">
    <mergeCell ref="C1:N1"/>
    <mergeCell ref="D41:I41"/>
    <mergeCell ref="B30:K30"/>
    <mergeCell ref="B6:K6"/>
    <mergeCell ref="B24:K24"/>
    <mergeCell ref="B39:C39"/>
    <mergeCell ref="C2:N2"/>
    <mergeCell ref="D37:I37"/>
    <mergeCell ref="B3:N3"/>
    <mergeCell ref="D39:I39"/>
    <mergeCell ref="B38:C38"/>
    <mergeCell ref="D38:I38"/>
    <mergeCell ref="B18:K18"/>
    <mergeCell ref="B37:C37"/>
    <mergeCell ref="B34:I34"/>
    <mergeCell ref="B12:K12"/>
    <mergeCell ref="D35:I35"/>
    <mergeCell ref="B40:C40"/>
    <mergeCell ref="D40:I40"/>
    <mergeCell ref="B44:K44"/>
    <mergeCell ref="B36:C36"/>
    <mergeCell ref="D36:I36"/>
    <mergeCell ref="B41:C41"/>
    <mergeCell ref="B35:C35"/>
  </mergeCells>
  <printOptions horizontalCentered="0" verticalCentered="0" headings="0" gridLines="0" gridLinesSet="1"/>
  <pageMargins left="0.75" right="0.75" top="1" bottom="1" header="0.511805555555556" footer="0.511805555555556"/>
  <pageSetup orientation="portrait" paperSize="9" scale="100" fitToHeight="1" fitToWidth="1" pageOrder="downThenOver" blackAndWhite="0" draft="0" horizontalDpi="300" verticalDpi="300" copies="1"/>
  <headerFooter differentOddEven="0" differentFirst="0">
    <oddHeader>&amp;L&amp;"Calibri,Bold"&amp;9 Baobab Consulting  ·  CONFIDENTIAL&amp;R&amp;8 Page &amp;P of &amp;N  ·  FY &amp;D</oddHeader>
    <oddFooter>&amp;C&amp;"Calibri,Italic"&amp;7 © Baobab Group of Companies (Baobab CFO Pty Ltd Baobab Consulting). No unauthorised use or reproduction without prior written permission.</oddFooter>
    <evenHeader/>
    <evenFooter/>
    <firstHeader/>
    <firstFooter/>
  </headerFooter>
  <drawing xmlns:r="http://schemas.openxmlformats.org/officeDocument/2006/relationships" r:id="rId1"/>
</worksheet>
</file>

<file path=xl/worksheets/sheet5.xml><?xml version="1.0" encoding="utf-8"?>
<worksheet xmlns="http://schemas.openxmlformats.org/spreadsheetml/2006/main">
  <sheetPr filterMode="0">
    <outlinePr summaryBelow="1" summaryRight="1"/>
    <pageSetUpPr fitToPage="0"/>
  </sheetPr>
  <dimension ref="A1:Q52"/>
  <sheetViews>
    <sheetView showFormulas="0" showGridLines="0" showRowColHeaders="1" showZeros="1" rightToLeft="0" tabSelected="0" showOutlineSymbols="1" defaultGridColor="1"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D4" activeCellId="0" sqref="D4"/>
    </sheetView>
  </sheetViews>
  <sheetFormatPr baseColWidth="8" defaultColWidth="8.71484375" defaultRowHeight="15" zeroHeight="0" outlineLevelRow="0"/>
  <cols>
    <col width="2" customWidth="1" style="162" min="1" max="1"/>
    <col width="36" customWidth="1" style="162" min="2" max="2"/>
    <col width="16" customWidth="1" style="162" min="3" max="5"/>
    <col width="30" customWidth="1" style="162" min="6" max="7"/>
    <col width="14" customWidth="1" style="162" min="8" max="9"/>
  </cols>
  <sheetData>
    <row r="1" ht="90" customHeight="1" s="163">
      <c r="A1" s="179" t="n"/>
      <c r="B1" s="179" t="n"/>
      <c r="C1" s="180">
        <f>FamilyName&amp;" Group — Tax Estimator"</f>
        <v/>
      </c>
      <c r="D1" s="168" t="n"/>
      <c r="E1" s="168" t="n"/>
      <c r="F1" s="168" t="n"/>
      <c r="G1" s="168" t="n"/>
      <c r="H1" s="168" t="n"/>
      <c r="I1" s="168" t="n"/>
      <c r="J1" s="168" t="n"/>
      <c r="K1" s="168" t="n"/>
      <c r="L1" s="168" t="n"/>
      <c r="M1" s="260" t="n"/>
      <c r="N1" s="179" t="n"/>
      <c r="O1" s="179" t="n"/>
      <c r="P1" s="179" t="n"/>
      <c r="Q1" s="181" t="n"/>
    </row>
    <row r="2" ht="18" customHeight="1" s="163">
      <c r="A2" s="182" t="n"/>
      <c r="B2" s="182" t="n"/>
      <c r="C2" s="183">
        <f>"FY "&amp;FYYear&amp;"  ·  Baobab Consulting  ·  Confidential"</f>
        <v/>
      </c>
      <c r="D2" s="170" t="n"/>
      <c r="E2" s="170" t="n"/>
      <c r="F2" s="170" t="n"/>
      <c r="G2" s="170" t="n"/>
      <c r="H2" s="170" t="n"/>
      <c r="I2" s="170" t="n"/>
      <c r="J2" s="170" t="n"/>
      <c r="K2" s="170" t="n"/>
      <c r="L2" s="170" t="n"/>
      <c r="M2" s="261" t="n"/>
      <c r="N2" s="182" t="n"/>
      <c r="O2" s="182" t="n"/>
      <c r="P2" s="182" t="n"/>
      <c r="Q2" s="181" t="n"/>
    </row>
    <row r="3" ht="13.5" customHeight="1" s="163">
      <c r="A3" s="184" t="n"/>
      <c r="B3" s="171" t="inlineStr">
        <is>
          <t>© Baobab Group of Companies (incl. Baobab CFO Pty Ltd &amp; Baobab Consulting). No unauthorised use or reproduction without prior written permission.</t>
        </is>
      </c>
      <c r="C3" s="172" t="n"/>
      <c r="D3" s="172" t="n"/>
      <c r="E3" s="172" t="n"/>
      <c r="F3" s="172" t="n"/>
      <c r="G3" s="172" t="n"/>
      <c r="H3" s="172" t="n"/>
      <c r="I3" s="172" t="n"/>
      <c r="J3" s="172" t="n"/>
      <c r="K3" s="172" t="n"/>
      <c r="L3" s="172" t="n"/>
      <c r="M3" s="172" t="n"/>
      <c r="N3" s="184" t="n"/>
      <c r="O3" s="184" t="n"/>
      <c r="P3" s="184" t="n"/>
      <c r="Q3" s="181" t="n"/>
    </row>
    <row r="4" ht="31.5" customHeight="1" s="163">
      <c r="A4" s="172" t="n"/>
      <c r="B4" s="202" t="inlineStr">
        <is>
          <t>Description</t>
        </is>
      </c>
      <c r="C4" s="262">
        <f>Person1</f>
        <v/>
      </c>
      <c r="D4" s="262">
        <f>Person2</f>
        <v/>
      </c>
      <c r="E4" s="262">
        <f>TrustName</f>
        <v/>
      </c>
      <c r="F4" s="202" t="inlineStr">
        <is>
          <t>Combined</t>
        </is>
      </c>
      <c r="G4" s="263" t="inlineStr">
        <is>
          <t>Notes</t>
        </is>
      </c>
      <c r="H4" s="203" t="n"/>
      <c r="I4" s="203" t="n"/>
      <c r="J4" s="220" t="n"/>
      <c r="K4" s="172" t="n"/>
      <c r="L4" s="172" t="n"/>
      <c r="M4" s="172" t="n"/>
      <c r="N4" s="172" t="n"/>
      <c r="O4" s="172" t="n"/>
      <c r="P4" s="172" t="n"/>
      <c r="Q4" s="172" t="n"/>
    </row>
    <row r="5" ht="21.75" customHeight="1" s="163">
      <c r="A5" s="172" t="n"/>
      <c r="B5" s="231" t="inlineStr">
        <is>
          <t>INCOME — Enter GROSS taxable amounts</t>
        </is>
      </c>
      <c r="C5" s="232" t="n"/>
      <c r="D5" s="232" t="n"/>
      <c r="E5" s="232" t="n"/>
      <c r="F5" s="220" t="n"/>
      <c r="G5" s="264" t="n"/>
      <c r="H5" s="262" t="inlineStr">
        <is>
          <t>Type</t>
        </is>
      </c>
      <c r="I5" s="262">
        <f>Person1</f>
        <v/>
      </c>
      <c r="J5" s="262">
        <f>Person2</f>
        <v/>
      </c>
      <c r="K5" s="172" t="n"/>
      <c r="L5" s="172" t="n"/>
      <c r="M5" s="172" t="n"/>
      <c r="N5" s="172" t="n"/>
      <c r="O5" s="172" t="n"/>
      <c r="P5" s="172" t="n"/>
      <c r="Q5" s="172" t="n"/>
    </row>
    <row r="6" ht="18" customHeight="1" s="163">
      <c r="A6" s="172" t="n"/>
      <c r="B6" s="265" t="inlineStr">
        <is>
          <t>Gross Salary / Wages</t>
        </is>
      </c>
      <c r="C6" s="266" t="n">
        <v>0</v>
      </c>
      <c r="D6" s="266" t="n">
        <v>0</v>
      </c>
      <c r="E6" s="266" t="n">
        <v>0</v>
      </c>
      <c r="F6" s="267">
        <f>C6+D6+E6</f>
        <v/>
      </c>
      <c r="G6" s="268" t="n"/>
      <c r="H6" s="269" t="inlineStr">
        <is>
          <t>SGC — Employer (12%)</t>
        </is>
      </c>
      <c r="I6" s="267">
        <f>C36</f>
        <v/>
      </c>
      <c r="J6" s="267">
        <f>D36</f>
        <v/>
      </c>
      <c r="K6" s="172" t="n"/>
      <c r="L6" s="172" t="n"/>
      <c r="M6" s="172" t="n"/>
      <c r="N6" s="172" t="n"/>
      <c r="O6" s="172" t="n"/>
      <c r="P6" s="172" t="n"/>
      <c r="Q6" s="172" t="n"/>
    </row>
    <row r="7" ht="18" customHeight="1" s="163">
      <c r="A7" s="172" t="n"/>
      <c r="B7" s="270" t="inlineStr">
        <is>
          <t>Trust Distributions Received</t>
        </is>
      </c>
      <c r="C7" s="266" t="n">
        <v>0</v>
      </c>
      <c r="D7" s="266" t="n">
        <v>0</v>
      </c>
      <c r="E7" s="266" t="n">
        <v>0</v>
      </c>
      <c r="F7" s="267">
        <f>C7+D7+E7</f>
        <v/>
      </c>
      <c r="G7" s="271" t="n"/>
      <c r="H7" s="272" t="inlineStr">
        <is>
          <t>Salary Sacrifice</t>
        </is>
      </c>
      <c r="I7" s="266" t="n">
        <v>0</v>
      </c>
      <c r="J7" s="266" t="n">
        <v>0</v>
      </c>
      <c r="K7" s="172" t="n"/>
      <c r="L7" s="172" t="n"/>
      <c r="M7" s="172" t="n"/>
      <c r="N7" s="172" t="n"/>
      <c r="O7" s="172" t="n"/>
      <c r="P7" s="172" t="n"/>
      <c r="Q7" s="172" t="n"/>
    </row>
    <row r="8" ht="18" customHeight="1" s="163">
      <c r="A8" s="172" t="n"/>
      <c r="B8" s="265" t="inlineStr">
        <is>
          <t>Consulting / Business Income</t>
        </is>
      </c>
      <c r="C8" s="266" t="n">
        <v>0</v>
      </c>
      <c r="D8" s="266" t="n">
        <v>0</v>
      </c>
      <c r="E8" s="266" t="n">
        <v>0</v>
      </c>
      <c r="F8" s="267">
        <f>C8+D8+E8</f>
        <v/>
      </c>
      <c r="G8" s="268" t="n"/>
      <c r="H8" s="269" t="inlineStr">
        <is>
          <t>Personal Contributions</t>
        </is>
      </c>
      <c r="I8" s="266" t="n">
        <v>0</v>
      </c>
      <c r="J8" s="266" t="n">
        <v>0</v>
      </c>
      <c r="K8" s="172" t="n"/>
      <c r="L8" s="172" t="n"/>
      <c r="M8" s="172" t="n"/>
      <c r="N8" s="172" t="n"/>
      <c r="O8" s="172" t="n"/>
      <c r="P8" s="172" t="n"/>
      <c r="Q8" s="172" t="n"/>
    </row>
    <row r="9" ht="18" customHeight="1" s="163">
      <c r="A9" s="172" t="n"/>
      <c r="B9" s="270" t="inlineStr">
        <is>
          <t>Net Rental Income / (Loss)</t>
        </is>
      </c>
      <c r="C9" s="266" t="n">
        <v>0</v>
      </c>
      <c r="D9" s="266" t="n">
        <v>0</v>
      </c>
      <c r="E9" s="266">
        <f>IF(NegGearingEligible="YES",'🏘 Rental Properties'!O11,MAX(0,'🏘 Rental Properties'!O11))</f>
        <v/>
      </c>
      <c r="F9" s="267">
        <f>C9+D9+E9</f>
        <v/>
      </c>
      <c r="G9" s="271" t="inlineStr">
        <is>
          <t>Trust rental auto-links from Rental Properties sheet with gearing switch. Enter personal rental (C9/D9) manually.</t>
        </is>
      </c>
      <c r="H9" s="272" t="inlineStr">
        <is>
          <t>Concessional Total</t>
        </is>
      </c>
      <c r="I9" s="267">
        <f>I6+I7+I8</f>
        <v/>
      </c>
      <c r="J9" s="267">
        <f>J6+J7+J8</f>
        <v/>
      </c>
      <c r="K9" s="172" t="n"/>
      <c r="L9" s="172" t="n"/>
      <c r="M9" s="172" t="n"/>
      <c r="N9" s="172" t="n"/>
      <c r="O9" s="172" t="n"/>
      <c r="P9" s="172" t="n"/>
      <c r="Q9" s="172" t="n"/>
    </row>
    <row r="10" ht="18" customHeight="1" s="163">
      <c r="A10" s="172" t="n"/>
      <c r="B10" s="265" t="inlineStr">
        <is>
          <t>Dividend Income</t>
        </is>
      </c>
      <c r="C10" s="266" t="n">
        <v>0</v>
      </c>
      <c r="D10" s="266" t="n">
        <v>0</v>
      </c>
      <c r="E10" s="266" t="n">
        <v>0</v>
      </c>
      <c r="F10" s="267">
        <f>C10+D10+E10</f>
        <v/>
      </c>
      <c r="G10" s="268" t="n"/>
      <c r="H10" s="269">
        <f>"Concessional Cap (FY"&amp;FYYear&amp;")"</f>
        <v/>
      </c>
      <c r="I10" s="266" t="n">
        <v>30000</v>
      </c>
      <c r="J10" s="266" t="n">
        <v>30000</v>
      </c>
      <c r="K10" s="172" t="n"/>
      <c r="L10" s="172" t="n"/>
      <c r="M10" s="172" t="n"/>
      <c r="N10" s="172" t="n"/>
      <c r="O10" s="172" t="n"/>
      <c r="P10" s="172" t="n"/>
      <c r="Q10" s="172" t="n"/>
    </row>
    <row r="11" ht="18" customHeight="1" s="163">
      <c r="A11" s="172" t="n"/>
      <c r="B11" s="270" t="inlineStr">
        <is>
          <t>Franking Credits (auto-calculated)</t>
        </is>
      </c>
      <c r="C11" s="267">
        <f>C10*FrankingPct*(CorpTaxRate/(1-CorpTaxRate))</f>
        <v/>
      </c>
      <c r="D11" s="267">
        <f>D10*FrankingPct*(CorpTaxRate/(1-CorpTaxRate))</f>
        <v/>
      </c>
      <c r="E11" s="267">
        <f>E10*FrankingPct*(CorpTaxRate/(1-CorpTaxRate))</f>
        <v/>
      </c>
      <c r="F11" s="267">
        <f>C11+D11+E11</f>
        <v/>
      </c>
      <c r="G11" s="271" t="n"/>
      <c r="H11" s="272" t="inlineStr">
        <is>
          <t>Remaining Cap</t>
        </is>
      </c>
      <c r="I11" s="267">
        <f>I10-I9</f>
        <v/>
      </c>
      <c r="J11" s="267">
        <f>J10-J9</f>
        <v/>
      </c>
      <c r="K11" s="172" t="n"/>
      <c r="L11" s="172" t="n"/>
      <c r="M11" s="172" t="n"/>
      <c r="N11" s="172" t="n"/>
      <c r="O11" s="172" t="n"/>
      <c r="P11" s="172" t="n"/>
      <c r="Q11" s="172" t="n"/>
    </row>
    <row r="12" ht="18" customHeight="1" s="163">
      <c r="A12" s="172" t="n"/>
      <c r="B12" s="265" t="inlineStr">
        <is>
          <t>Other Income</t>
        </is>
      </c>
      <c r="C12" s="266" t="n">
        <v>0</v>
      </c>
      <c r="D12" s="266" t="n">
        <v>0</v>
      </c>
      <c r="E12" s="266" t="n">
        <v>0</v>
      </c>
      <c r="F12" s="267">
        <f>C12+D12+E12</f>
        <v/>
      </c>
      <c r="G12" s="268" t="n"/>
      <c r="H12" s="172" t="n"/>
      <c r="I12" s="172" t="n"/>
      <c r="J12" s="172" t="n"/>
      <c r="K12" s="172" t="n"/>
      <c r="L12" s="172" t="n"/>
      <c r="M12" s="172" t="n"/>
      <c r="N12" s="172" t="n"/>
      <c r="O12" s="172" t="n"/>
      <c r="P12" s="172" t="n"/>
      <c r="Q12" s="172" t="n"/>
    </row>
    <row r="13" ht="3.75" customHeight="1" s="163">
      <c r="A13" s="172" t="n"/>
      <c r="B13" s="273" t="n"/>
      <c r="C13" s="273" t="n"/>
      <c r="D13" s="273" t="n"/>
      <c r="E13" s="172" t="n"/>
      <c r="F13" s="273" t="n"/>
      <c r="G13" s="273" t="n"/>
      <c r="H13" s="273" t="n"/>
      <c r="I13" s="273" t="n"/>
      <c r="J13" s="273" t="n"/>
      <c r="K13" s="172" t="n"/>
      <c r="L13" s="172" t="n"/>
      <c r="M13" s="172" t="n"/>
      <c r="N13" s="172" t="n"/>
      <c r="O13" s="172" t="n"/>
      <c r="P13" s="172" t="n"/>
      <c r="Q13" s="172" t="n"/>
    </row>
    <row r="14" ht="21.75" customHeight="1" s="163">
      <c r="A14" s="172" t="n"/>
      <c r="B14" s="274" t="inlineStr">
        <is>
          <t>ALLOWABLE DEDUCTIONS — Enter your deductible expenses below</t>
        </is>
      </c>
      <c r="C14" s="232" t="n"/>
      <c r="D14" s="232" t="n"/>
      <c r="E14" s="232" t="n"/>
      <c r="F14" s="220" t="n"/>
      <c r="G14" s="232" t="n"/>
      <c r="H14" s="232" t="n"/>
      <c r="I14" s="232" t="n"/>
      <c r="J14" s="215" t="n"/>
      <c r="K14" s="172" t="n"/>
      <c r="L14" s="172" t="n"/>
      <c r="M14" s="172" t="n"/>
      <c r="N14" s="172" t="n"/>
      <c r="O14" s="172" t="n"/>
      <c r="P14" s="172" t="n"/>
      <c r="Q14" s="172" t="n"/>
    </row>
    <row r="15" ht="18" customHeight="1" s="163">
      <c r="A15" s="172" t="n"/>
      <c r="B15" s="275" t="inlineStr">
        <is>
          <t>Work-Related Expenses</t>
        </is>
      </c>
      <c r="C15" s="266" t="n">
        <v>0</v>
      </c>
      <c r="D15" s="266" t="n">
        <v>0</v>
      </c>
      <c r="E15" s="266" t="n">
        <v>0</v>
      </c>
      <c r="F15" s="276">
        <f>C15+D15+E15</f>
        <v/>
      </c>
      <c r="G15" s="203" t="n"/>
      <c r="H15" s="203" t="n"/>
      <c r="I15" s="203" t="n"/>
      <c r="J15" s="215" t="n"/>
      <c r="K15" s="172" t="n"/>
      <c r="L15" s="172" t="n"/>
      <c r="M15" s="172" t="n"/>
      <c r="N15" s="172" t="n"/>
      <c r="O15" s="172" t="n"/>
      <c r="P15" s="172" t="n"/>
      <c r="Q15" s="172" t="n"/>
    </row>
    <row r="16" ht="18" customHeight="1" s="163">
      <c r="A16" s="172" t="n"/>
      <c r="B16" s="275" t="inlineStr">
        <is>
          <t>Investment Property Expenses</t>
        </is>
      </c>
      <c r="C16" s="266" t="n">
        <v>0</v>
      </c>
      <c r="D16" s="266" t="n">
        <v>0</v>
      </c>
      <c r="E16" s="266" t="n">
        <v>0</v>
      </c>
      <c r="F16" s="276">
        <f>C16+D16+E16</f>
        <v/>
      </c>
      <c r="G16" s="203" t="n"/>
      <c r="H16" s="203" t="n"/>
      <c r="I16" s="203" t="n"/>
      <c r="J16" s="215" t="n"/>
      <c r="K16" s="172" t="n"/>
      <c r="L16" s="172" t="n"/>
      <c r="M16" s="172" t="n"/>
      <c r="N16" s="172" t="n"/>
      <c r="O16" s="172" t="n"/>
      <c r="P16" s="172" t="n"/>
      <c r="Q16" s="172" t="n"/>
    </row>
    <row r="17" ht="18" customHeight="1" s="163">
      <c r="A17" s="172" t="n"/>
      <c r="B17" s="275" t="inlineStr">
        <is>
          <t>Income Protection Insurance</t>
        </is>
      </c>
      <c r="C17" s="266" t="n">
        <v>0</v>
      </c>
      <c r="D17" s="266" t="n">
        <v>0</v>
      </c>
      <c r="E17" s="266" t="n">
        <v>0</v>
      </c>
      <c r="F17" s="276">
        <f>C17+D17+E17</f>
        <v/>
      </c>
      <c r="G17" s="203" t="n"/>
      <c r="H17" s="203" t="n"/>
      <c r="I17" s="203" t="n"/>
      <c r="J17" s="215" t="n"/>
      <c r="K17" s="172" t="n"/>
      <c r="L17" s="172" t="n"/>
      <c r="M17" s="172" t="n"/>
      <c r="N17" s="172" t="n"/>
      <c r="O17" s="172" t="n"/>
      <c r="P17" s="172" t="n"/>
      <c r="Q17" s="172" t="n"/>
    </row>
    <row r="18" ht="18" customHeight="1" s="163">
      <c r="A18" s="172" t="n"/>
      <c r="B18" s="275" t="inlineStr">
        <is>
          <t>Other Deduction</t>
        </is>
      </c>
      <c r="C18" s="266" t="n">
        <v>0</v>
      </c>
      <c r="D18" s="266" t="n">
        <v>0</v>
      </c>
      <c r="E18" s="266" t="n">
        <v>0</v>
      </c>
      <c r="F18" s="276">
        <f>C18+D18+E18</f>
        <v/>
      </c>
      <c r="G18" s="203" t="n"/>
      <c r="H18" s="203" t="n"/>
      <c r="I18" s="203" t="n"/>
      <c r="J18" s="215" t="n"/>
      <c r="K18" s="172" t="n"/>
      <c r="L18" s="172" t="n"/>
      <c r="M18" s="172" t="n"/>
      <c r="N18" s="172" t="n"/>
      <c r="O18" s="172" t="n"/>
      <c r="P18" s="172" t="n"/>
      <c r="Q18" s="172" t="n"/>
    </row>
    <row r="19" ht="19.5" customHeight="1" s="163">
      <c r="A19" s="172" t="n"/>
      <c r="B19" s="277" t="inlineStr">
        <is>
          <t>Total Allowable Deductions</t>
        </is>
      </c>
      <c r="C19" s="278">
        <f>SUM(C15:C18)</f>
        <v/>
      </c>
      <c r="D19" s="278">
        <f>SUM(D15:D18)</f>
        <v/>
      </c>
      <c r="E19" s="278">
        <f>SUM(E15:E18)</f>
        <v/>
      </c>
      <c r="F19" s="279">
        <f>C19+D19+E19</f>
        <v/>
      </c>
      <c r="G19" s="203" t="n"/>
      <c r="H19" s="203" t="n"/>
      <c r="I19" s="203" t="n"/>
      <c r="J19" s="215" t="n"/>
      <c r="K19" s="172" t="n"/>
      <c r="L19" s="172" t="n"/>
      <c r="M19" s="172" t="n"/>
      <c r="N19" s="172" t="n"/>
      <c r="O19" s="172" t="n"/>
      <c r="P19" s="172" t="n"/>
      <c r="Q19" s="172" t="n"/>
    </row>
    <row r="20" ht="3.75" customHeight="1" s="163">
      <c r="A20" s="172" t="n"/>
      <c r="B20" s="273" t="n"/>
      <c r="C20" s="273" t="n"/>
      <c r="D20" s="273" t="n"/>
      <c r="E20" s="172" t="n"/>
      <c r="F20" s="273" t="n"/>
      <c r="G20" s="273" t="n"/>
      <c r="H20" s="273" t="n"/>
      <c r="I20" s="273" t="n"/>
      <c r="J20" s="273" t="n"/>
      <c r="K20" s="172" t="n"/>
      <c r="L20" s="172" t="n"/>
      <c r="M20" s="172" t="n"/>
      <c r="N20" s="172" t="n"/>
      <c r="O20" s="172" t="n"/>
      <c r="P20" s="172" t="n"/>
      <c r="Q20" s="172" t="n"/>
    </row>
    <row r="21" ht="24" customHeight="1" s="163">
      <c r="A21" s="172" t="n"/>
      <c r="B21" s="280" t="inlineStr">
        <is>
          <t>TAXABLE INCOME</t>
        </is>
      </c>
      <c r="C21" s="281">
        <f>SUM(C6:C12)-C19</f>
        <v/>
      </c>
      <c r="D21" s="281">
        <f>SUM(D6:D12)-D19</f>
        <v/>
      </c>
      <c r="E21" s="281">
        <f>SUM(E6:E12)-E19</f>
        <v/>
      </c>
      <c r="F21" s="281">
        <f>C21+D21+E21</f>
        <v/>
      </c>
      <c r="G21" s="282" t="n"/>
      <c r="H21" s="282" t="n"/>
      <c r="I21" s="282" t="n"/>
      <c r="J21" s="215" t="n"/>
      <c r="K21" s="172" t="n"/>
      <c r="L21" s="172" t="n"/>
      <c r="M21" s="172" t="n"/>
      <c r="N21" s="172" t="n"/>
      <c r="O21" s="172" t="n"/>
      <c r="P21" s="172" t="n"/>
      <c r="Q21" s="172" t="n"/>
    </row>
    <row r="22" ht="7.5" customHeight="1" s="163">
      <c r="A22" s="172" t="n"/>
      <c r="B22" s="283" t="n"/>
      <c r="C22" s="283" t="n"/>
      <c r="D22" s="283" t="n"/>
      <c r="E22" s="172" t="n"/>
      <c r="F22" s="283" t="n"/>
      <c r="G22" s="283" t="n"/>
      <c r="H22" s="283" t="n"/>
      <c r="I22" s="283" t="n"/>
      <c r="J22" s="283" t="n"/>
      <c r="K22" s="172" t="n"/>
      <c r="L22" s="172" t="n"/>
      <c r="M22" s="172" t="n"/>
      <c r="N22" s="172" t="n"/>
      <c r="O22" s="172" t="n"/>
      <c r="P22" s="172" t="n"/>
      <c r="Q22" s="172" t="n"/>
    </row>
    <row r="23" ht="21.75" customHeight="1" s="163">
      <c r="A23" s="172" t="n"/>
      <c r="B23" s="274">
        <f>"TAX CALCULATION  —  FY "&amp;FYYear&amp;" ATO Rates"</f>
        <v/>
      </c>
      <c r="C23" s="232" t="n"/>
      <c r="D23" s="232" t="n"/>
      <c r="E23" s="232" t="n"/>
      <c r="F23" s="220" t="n"/>
      <c r="G23" s="284" t="n"/>
      <c r="H23" s="284" t="n"/>
      <c r="I23" s="284" t="n"/>
      <c r="J23" s="284" t="n"/>
      <c r="K23" s="172" t="n"/>
      <c r="L23" s="172" t="n"/>
      <c r="M23" s="172" t="n"/>
      <c r="N23" s="172" t="n"/>
      <c r="O23" s="172" t="n"/>
      <c r="P23" s="172" t="n"/>
      <c r="Q23" s="172" t="n"/>
    </row>
    <row r="24" ht="18" customHeight="1" s="163">
      <c r="A24" s="172" t="n"/>
      <c r="B24" s="265" t="inlineStr">
        <is>
          <t>Gross Income Tax</t>
        </is>
      </c>
      <c r="C24" s="267">
        <f>IF(C21&lt;=18200,0,IF(C21&lt;=45000,(C21-18200)*0.16,IF(C21&lt;=135000,4288+(C21-45000)*0.3,IF(C21&lt;=190000,31288+(C21-135000)*0.37,51638+(C21-190000)*0.45))))</f>
        <v/>
      </c>
      <c r="D24" s="267">
        <f>IF(D21&lt;=18200,0,IF(D21&lt;=45000,(D21-18200)*0.16,IF(D21&lt;=135000,4288+(D21-45000)*0.3,IF(D21&lt;=190000,31288+(D21-135000)*0.37,51638+(D21-190000)*0.45))))</f>
        <v/>
      </c>
      <c r="E24" s="267">
        <f>E21*0.3</f>
        <v/>
      </c>
      <c r="F24" s="276">
        <f>C24+D24+E24</f>
        <v/>
      </c>
      <c r="G24" s="203" t="n"/>
      <c r="H24" s="203" t="n"/>
      <c r="I24" s="203" t="n"/>
      <c r="J24" s="215" t="n"/>
      <c r="K24" s="172" t="n"/>
      <c r="L24" s="172" t="n"/>
      <c r="M24" s="172" t="n"/>
      <c r="N24" s="172" t="n"/>
      <c r="O24" s="172" t="n"/>
      <c r="P24" s="172" t="n"/>
      <c r="Q24" s="172" t="n"/>
    </row>
    <row r="25" ht="18" customHeight="1" s="163">
      <c r="A25" s="172" t="n"/>
      <c r="B25" s="270" t="inlineStr">
        <is>
          <t>Less: LITO</t>
        </is>
      </c>
      <c r="C25" s="267">
        <f>-MIN(C24,IF(C21&lt;=37500,700,IF(C21&lt;=45000,700-(C21-37500)*0.05,IF(C21&lt;=66667,325-(C21-45000)*0.015,0))))</f>
        <v/>
      </c>
      <c r="D25" s="267">
        <f>-MIN(D24,IF(D21&lt;=37500,700,IF(D21&lt;=45000,700-(D21-37500)*0.05,IF(D21&lt;=66667,325-(D21-45000)*0.015,0))))</f>
        <v/>
      </c>
      <c r="E25" s="267" t="n">
        <v>0</v>
      </c>
      <c r="F25" s="276">
        <f>C25+D25+E25</f>
        <v/>
      </c>
      <c r="G25" s="203" t="n"/>
      <c r="H25" s="203" t="n"/>
      <c r="I25" s="203" t="n"/>
      <c r="J25" s="215" t="n"/>
      <c r="K25" s="172" t="n"/>
      <c r="L25" s="172" t="n"/>
      <c r="M25" s="172" t="n"/>
      <c r="N25" s="172" t="n"/>
      <c r="O25" s="172" t="n"/>
      <c r="P25" s="172" t="n"/>
      <c r="Q25" s="172" t="n"/>
    </row>
    <row r="26" ht="18" customHeight="1" s="163">
      <c r="A26" s="172" t="n"/>
      <c r="B26" s="265" t="inlineStr">
        <is>
          <t>Add: Medicare Levy (2%)</t>
        </is>
      </c>
      <c r="C26" s="267">
        <f>IF(C21&gt;26000,C21*0.02,0)</f>
        <v/>
      </c>
      <c r="D26" s="267">
        <f>IF(D21&gt;26000,D21*0.02,0)</f>
        <v/>
      </c>
      <c r="E26" s="267" t="n">
        <v>0</v>
      </c>
      <c r="F26" s="276">
        <f>C26+D26+E26</f>
        <v/>
      </c>
      <c r="G26" s="203" t="n"/>
      <c r="H26" s="203" t="n"/>
      <c r="I26" s="203" t="n"/>
      <c r="J26" s="215" t="n"/>
      <c r="K26" s="172" t="n"/>
      <c r="L26" s="172" t="n"/>
      <c r="M26" s="172" t="n"/>
      <c r="N26" s="172" t="n"/>
      <c r="O26" s="172" t="n"/>
      <c r="P26" s="172" t="n"/>
      <c r="Q26" s="172" t="n"/>
    </row>
    <row r="27" ht="18" customHeight="1" s="163">
      <c r="A27" s="172" t="n"/>
      <c r="B27" s="270" t="inlineStr">
        <is>
          <t>Less: Franking Credits</t>
        </is>
      </c>
      <c r="C27" s="267">
        <f>-C11</f>
        <v/>
      </c>
      <c r="D27" s="267">
        <f>-D11</f>
        <v/>
      </c>
      <c r="E27" s="267">
        <f>-E11</f>
        <v/>
      </c>
      <c r="F27" s="276">
        <f>C27+D27+E27</f>
        <v/>
      </c>
      <c r="G27" s="203" t="n"/>
      <c r="H27" s="203" t="n"/>
      <c r="I27" s="203" t="n"/>
      <c r="J27" s="215" t="n"/>
      <c r="K27" s="172" t="n"/>
      <c r="L27" s="172" t="n"/>
      <c r="M27" s="172" t="n"/>
      <c r="N27" s="172" t="n"/>
      <c r="O27" s="172" t="n"/>
      <c r="P27" s="172" t="n"/>
      <c r="Q27" s="172" t="n"/>
    </row>
    <row r="28" ht="18" customHeight="1" s="163">
      <c r="A28" s="172" t="n"/>
      <c r="B28" s="265" t="inlineStr">
        <is>
          <t>Less: PAYG Withheld during year</t>
        </is>
      </c>
      <c r="C28" s="266" t="n">
        <v>0</v>
      </c>
      <c r="D28" s="266" t="n">
        <v>0</v>
      </c>
      <c r="E28" s="266" t="n">
        <v>0</v>
      </c>
      <c r="F28" s="276">
        <f>C28+D28+E28</f>
        <v/>
      </c>
      <c r="G28" s="203" t="n"/>
      <c r="H28" s="203" t="n"/>
      <c r="I28" s="203" t="n"/>
      <c r="J28" s="215" t="n"/>
      <c r="K28" s="172" t="n"/>
      <c r="L28" s="172" t="n"/>
      <c r="M28" s="172" t="n"/>
      <c r="N28" s="172" t="n"/>
      <c r="O28" s="172" t="n"/>
      <c r="P28" s="172" t="n"/>
      <c r="Q28" s="172" t="n"/>
    </row>
    <row r="29" ht="18" customHeight="1" s="163">
      <c r="A29" s="172" t="n"/>
      <c r="B29" s="270" t="inlineStr">
        <is>
          <t>Less: Other Credits &amp; Adjustments</t>
        </is>
      </c>
      <c r="C29" s="266" t="n">
        <v>0</v>
      </c>
      <c r="D29" s="266" t="n">
        <v>0</v>
      </c>
      <c r="E29" s="266" t="n">
        <v>0</v>
      </c>
      <c r="F29" s="276">
        <f>C29+D29+E29</f>
        <v/>
      </c>
      <c r="G29" s="203" t="n"/>
      <c r="H29" s="203" t="n"/>
      <c r="I29" s="203" t="n"/>
      <c r="J29" s="215" t="n"/>
      <c r="K29" s="172" t="n"/>
      <c r="L29" s="172" t="n"/>
      <c r="M29" s="172" t="n"/>
      <c r="N29" s="172" t="n"/>
      <c r="O29" s="172" t="n"/>
      <c r="P29" s="172" t="n"/>
      <c r="Q29" s="172" t="n"/>
    </row>
    <row r="30" ht="4.5" customHeight="1" s="163">
      <c r="A30" s="172" t="n"/>
      <c r="B30" s="283" t="n"/>
      <c r="C30" s="283" t="n"/>
      <c r="D30" s="283" t="n"/>
      <c r="E30" s="172" t="n"/>
      <c r="F30" s="283" t="n"/>
      <c r="G30" s="283" t="n"/>
      <c r="H30" s="283" t="n"/>
      <c r="I30" s="283" t="n"/>
      <c r="J30" s="283" t="n"/>
      <c r="K30" s="172" t="n"/>
      <c r="L30" s="172" t="n"/>
      <c r="M30" s="172" t="n"/>
      <c r="N30" s="172" t="n"/>
      <c r="O30" s="172" t="n"/>
      <c r="P30" s="172" t="n"/>
      <c r="Q30" s="172" t="n"/>
    </row>
    <row r="31" ht="25.5" customHeight="1" s="163">
      <c r="A31" s="172" t="n"/>
      <c r="B31" s="285" t="inlineStr">
        <is>
          <t>TAX BALANCE DUE / (REFUND)</t>
        </is>
      </c>
      <c r="C31" s="286">
        <f>MAX(0,SUM(C24:C27))-C28-C29</f>
        <v/>
      </c>
      <c r="D31" s="286">
        <f>MAX(0,SUM(D24:D27))-D28-D29</f>
        <v/>
      </c>
      <c r="E31" s="286">
        <f>MAX(0,SUM(E24:E27))-E28-E29</f>
        <v/>
      </c>
      <c r="F31" s="287">
        <f>MAX(0,SUM(F24:F27))-F28-F29</f>
        <v/>
      </c>
      <c r="G31" s="288" t="n"/>
      <c r="H31" s="288" t="n"/>
      <c r="I31" s="288" t="n"/>
      <c r="J31" s="289" t="n"/>
      <c r="K31" s="172" t="n"/>
      <c r="L31" s="172" t="n"/>
      <c r="M31" s="172" t="n"/>
      <c r="N31" s="172" t="n"/>
      <c r="O31" s="172" t="n"/>
      <c r="P31" s="172" t="n"/>
      <c r="Q31" s="172" t="n"/>
    </row>
    <row r="32" ht="7.5" customHeight="1" s="163">
      <c r="A32" s="172" t="n"/>
      <c r="B32" s="283" t="n"/>
      <c r="C32" s="283" t="n"/>
      <c r="D32" s="283" t="n"/>
      <c r="E32" s="172" t="n"/>
      <c r="F32" s="283" t="n"/>
      <c r="G32" s="283" t="n"/>
      <c r="H32" s="283" t="n"/>
      <c r="I32" s="283" t="n"/>
      <c r="J32" s="283" t="n"/>
      <c r="K32" s="172" t="n"/>
      <c r="L32" s="172" t="n"/>
      <c r="M32" s="172" t="n"/>
      <c r="N32" s="172" t="n"/>
      <c r="O32" s="172" t="n"/>
      <c r="P32" s="172" t="n"/>
      <c r="Q32" s="172" t="n"/>
    </row>
    <row r="33" ht="21.75" customHeight="1" s="163">
      <c r="A33" s="172" t="n"/>
      <c r="B33" s="290" t="inlineStr">
        <is>
          <t>ADDITIONAL INFORMATION</t>
        </is>
      </c>
      <c r="C33" s="232" t="n"/>
      <c r="D33" s="232" t="n"/>
      <c r="E33" s="232" t="n"/>
      <c r="F33" s="220" t="n"/>
      <c r="G33" s="291" t="n"/>
      <c r="H33" s="291" t="n"/>
      <c r="I33" s="291" t="n"/>
      <c r="J33" s="291" t="n"/>
      <c r="K33" s="172" t="n"/>
      <c r="L33" s="172" t="n"/>
      <c r="M33" s="172" t="n"/>
      <c r="N33" s="172" t="n"/>
      <c r="O33" s="172" t="n"/>
      <c r="P33" s="172" t="n"/>
      <c r="Q33" s="172" t="n"/>
    </row>
    <row r="34" ht="18" customHeight="1" s="163">
      <c r="A34" s="172" t="n"/>
      <c r="B34" s="265" t="inlineStr">
        <is>
          <t>Effective Tax Rate</t>
        </is>
      </c>
      <c r="C34" s="292">
        <f>IF(C21&gt;0,MAX(0,SUM(C24:C27))/C21,0)</f>
        <v/>
      </c>
      <c r="D34" s="292">
        <f>IF(D21&gt;0,MAX(0,SUM(D24:D27))/D21,0)</f>
        <v/>
      </c>
      <c r="E34" s="292">
        <f>IF(E21&gt;0,MAX(0,SUM(E24:E27))/E21,0)</f>
        <v/>
      </c>
      <c r="F34" s="293">
        <f>IF(F21&gt;0,MAX(0,SUM(F24:F27))/F21,0)</f>
        <v/>
      </c>
      <c r="G34" s="203" t="n"/>
      <c r="H34" s="203" t="n"/>
      <c r="I34" s="203" t="n"/>
      <c r="J34" s="215" t="n"/>
      <c r="K34" s="172" t="n"/>
      <c r="L34" s="172" t="n"/>
      <c r="M34" s="172" t="n"/>
      <c r="N34" s="172" t="n"/>
      <c r="O34" s="172" t="n"/>
      <c r="P34" s="172" t="n"/>
      <c r="Q34" s="172" t="n"/>
    </row>
    <row r="35" ht="18" customHeight="1" s="163">
      <c r="A35" s="172" t="n"/>
      <c r="B35" s="270" t="inlineStr">
        <is>
          <t>Net After-Tax Income</t>
        </is>
      </c>
      <c r="C35" s="267">
        <f>C21-MAX(0,SUM(C24:C27))</f>
        <v/>
      </c>
      <c r="D35" s="267">
        <f>D21-MAX(0,SUM(D24:D27))</f>
        <v/>
      </c>
      <c r="E35" s="267">
        <f>E21-MAX(0,SUM(E24:E27))</f>
        <v/>
      </c>
      <c r="F35" s="276">
        <f>C35+D35+E35</f>
        <v/>
      </c>
      <c r="G35" s="203" t="n"/>
      <c r="H35" s="203" t="n"/>
      <c r="I35" s="203" t="n"/>
      <c r="J35" s="215" t="n"/>
      <c r="K35" s="172" t="n"/>
      <c r="L35" s="172" t="n"/>
      <c r="M35" s="172" t="n"/>
      <c r="N35" s="172" t="n"/>
      <c r="O35" s="172" t="n"/>
      <c r="P35" s="172" t="n"/>
      <c r="Q35" s="172" t="n"/>
    </row>
    <row r="36" ht="18" customHeight="1" s="163">
      <c r="A36" s="172" t="n"/>
      <c r="B36" s="265" t="inlineStr">
        <is>
          <t>Estimated SGC — Employer (12%)</t>
        </is>
      </c>
      <c r="C36" s="267">
        <f>C6*SGCRate</f>
        <v/>
      </c>
      <c r="D36" s="267">
        <f>D6*SGCRate</f>
        <v/>
      </c>
      <c r="E36" s="267" t="n">
        <v>0</v>
      </c>
      <c r="F36" s="276">
        <f>C36+D36+E36</f>
        <v/>
      </c>
      <c r="G36" s="203" t="n"/>
      <c r="H36" s="203" t="n"/>
      <c r="I36" s="203" t="n"/>
      <c r="J36" s="215" t="n"/>
      <c r="K36" s="172" t="n"/>
      <c r="L36" s="172" t="n"/>
      <c r="M36" s="172" t="n"/>
      <c r="N36" s="172" t="n"/>
      <c r="O36" s="172" t="n"/>
      <c r="P36" s="172" t="n"/>
      <c r="Q36" s="172" t="n"/>
    </row>
    <row r="37" ht="18" customHeight="1" s="163">
      <c r="A37" s="172" t="n"/>
      <c r="B37" s="265" t="inlineStr">
        <is>
          <t>CGT Discount on Property Sale</t>
        </is>
      </c>
      <c r="C37" s="294">
        <f>IF(CGTDiscountEligible="YES","50% discount applies (pre-1 Jul 2027 gains)","30% min tax + indexation (gains from 1 Jul 2027)")</f>
        <v/>
      </c>
      <c r="D37" s="294">
        <f>IF(CGTDiscountEligible="YES","50% discount applies (pre-1 Jul 2027 gains)","30% min tax + indexation (gains from 1 Jul 2027)")</f>
        <v/>
      </c>
      <c r="E37" s="294">
        <f>IF(CGTDiscountEligible="YES","50% discount applies","30% min tax + indexation")</f>
        <v/>
      </c>
      <c r="F37" s="295" t="n"/>
      <c r="G37" s="216" t="inlineStr">
        <is>
          <t>Set CGT Discount Eligible switch in Assumptions. From 1 Jul 2027, new property acquisitions use 30% min tax + indexation.</t>
        </is>
      </c>
      <c r="H37" s="172" t="n"/>
      <c r="I37" s="172" t="n"/>
      <c r="J37" s="172" t="n"/>
      <c r="K37" s="172" t="n"/>
      <c r="L37" s="172" t="n"/>
      <c r="M37" s="172" t="n"/>
      <c r="N37" s="172" t="n"/>
      <c r="O37" s="172" t="n"/>
      <c r="P37" s="172" t="n"/>
      <c r="Q37" s="172" t="n"/>
    </row>
    <row r="38" ht="18" customHeight="1" s="163">
      <c r="A38" s="172" t="n"/>
      <c r="B38" s="265" t="inlineStr">
        <is>
          <t>Rental Loss Treatment</t>
        </is>
      </c>
      <c r="C38" s="294">
        <f>IF(NegGearingEligible="YES","Losses deductible against all income ✓","Losses quarantined to rental income only ⚠")</f>
        <v/>
      </c>
      <c r="D38" s="294">
        <f>IF(NegGearingEligible="YES","Losses deductible against all income ✓","Losses quarantined to rental income only ⚠")</f>
        <v/>
      </c>
      <c r="E38" s="294">
        <f>IF(NegGearingEligible="YES","Losses deductible ✓","Losses quarantined ⚠")</f>
        <v/>
      </c>
      <c r="F38" s="295" t="n"/>
      <c r="G38" s="216" t="inlineStr">
        <is>
          <t>Set Negative Gearing Eligible in Assumptions. Properties acquired after 12 May 2026 cannot offset losses against non-rental income from 1 Jul 2027.</t>
        </is>
      </c>
      <c r="H38" s="172" t="n"/>
      <c r="I38" s="172" t="n"/>
      <c r="J38" s="172" t="n"/>
      <c r="K38" s="172" t="n"/>
      <c r="L38" s="172" t="n"/>
      <c r="M38" s="172" t="n"/>
      <c r="N38" s="172" t="n"/>
      <c r="O38" s="172" t="n"/>
      <c r="P38" s="172" t="n"/>
      <c r="Q38" s="172" t="n"/>
    </row>
    <row r="39" ht="7.5" customHeight="1" s="163">
      <c r="A39" s="172" t="n"/>
      <c r="B39" s="172" t="n"/>
      <c r="C39" s="172" t="n"/>
      <c r="D39" s="172" t="n"/>
      <c r="E39" s="172" t="n"/>
      <c r="F39" s="172" t="n"/>
      <c r="G39" s="172" t="n"/>
      <c r="H39" s="172" t="n"/>
      <c r="I39" s="172" t="n"/>
      <c r="J39" s="172" t="n"/>
      <c r="K39" s="172" t="n"/>
      <c r="L39" s="172" t="n"/>
      <c r="M39" s="172" t="n"/>
      <c r="N39" s="172" t="n"/>
      <c r="O39" s="172" t="n"/>
      <c r="P39" s="172" t="n"/>
      <c r="Q39" s="172" t="n"/>
    </row>
    <row r="40" ht="21.75" customHeight="1" s="163">
      <c r="A40" s="172" t="n"/>
      <c r="B40" s="216" t="inlineStr">
        <is>
          <t>⚠  TRUST TAX NOTE (FY2027-28 onwards)</t>
        </is>
      </c>
      <c r="C40" s="172" t="n"/>
      <c r="D40" s="172" t="n"/>
      <c r="E40" s="172" t="n"/>
      <c r="F40" s="172" t="n"/>
      <c r="G40" s="172" t="n"/>
      <c r="H40" s="172" t="n"/>
      <c r="I40" s="172" t="n"/>
      <c r="J40" s="172" t="n"/>
      <c r="K40" s="172" t="n"/>
      <c r="L40" s="172" t="n"/>
      <c r="M40" s="172" t="n"/>
      <c r="N40" s="172" t="n"/>
      <c r="O40" s="172" t="n"/>
      <c r="P40" s="172" t="n"/>
      <c r="Q40" s="172" t="n"/>
    </row>
    <row r="41" ht="19.5" customHeight="1" s="163">
      <c r="A41" s="172" t="n"/>
      <c r="B41" s="283" t="n"/>
      <c r="C41" s="283" t="n"/>
      <c r="D41" s="168" t="n"/>
      <c r="E41" s="168" t="n"/>
      <c r="F41" s="168" t="n"/>
      <c r="G41" s="168" t="n"/>
      <c r="H41" s="168" t="n"/>
      <c r="I41" s="168" t="n"/>
      <c r="J41" s="283" t="n"/>
      <c r="K41" s="172" t="n"/>
      <c r="L41" s="172" t="n"/>
      <c r="M41" s="172" t="n"/>
      <c r="N41" s="172" t="n"/>
      <c r="O41" s="172" t="n"/>
      <c r="P41" s="172" t="n"/>
      <c r="Q41" s="172" t="n"/>
    </row>
    <row r="42" ht="19.5" customHeight="1" s="163">
      <c r="A42" s="172" t="n"/>
      <c r="B42" s="231" t="inlineStr">
        <is>
          <t>HOW TO USE — TAX ESTIMATOR</t>
        </is>
      </c>
      <c r="C42" s="220" t="n"/>
      <c r="D42" s="232" t="n"/>
      <c r="E42" s="232" t="n"/>
      <c r="F42" s="232" t="n"/>
      <c r="G42" s="232" t="n"/>
      <c r="H42" s="232" t="n"/>
      <c r="I42" s="232" t="n"/>
      <c r="J42" s="220" t="n"/>
      <c r="K42" s="172" t="n"/>
      <c r="L42" s="172" t="n"/>
      <c r="M42" s="172" t="n"/>
      <c r="N42" s="172" t="n"/>
      <c r="O42" s="172" t="n"/>
      <c r="P42" s="172" t="n"/>
      <c r="Q42" s="172" t="n"/>
    </row>
    <row r="43" ht="19.5" customHeight="1" s="163">
      <c r="A43" s="172" t="n"/>
      <c r="B43" s="296" t="inlineStr">
        <is>
          <t>→  Income section</t>
        </is>
      </c>
      <c r="C43" s="297" t="inlineStr">
        <is>
          <t>Enter GROSS amounts. Salary = what employer pays before tax &amp; super are deducted.</t>
        </is>
      </c>
      <c r="D43" s="203" t="n"/>
      <c r="E43" s="203" t="n"/>
      <c r="F43" s="203" t="n"/>
      <c r="G43" s="203" t="n"/>
      <c r="H43" s="203" t="n"/>
      <c r="I43" s="203" t="n"/>
      <c r="J43" s="214" t="n"/>
      <c r="K43" s="172" t="n"/>
      <c r="L43" s="172" t="n"/>
      <c r="M43" s="172" t="n"/>
      <c r="N43" s="172" t="n"/>
      <c r="O43" s="172" t="n"/>
      <c r="P43" s="172" t="n"/>
      <c r="Q43" s="172" t="n"/>
    </row>
    <row r="44" ht="19.5" customHeight="1" s="163">
      <c r="A44" s="172" t="n"/>
      <c r="B44" s="298" t="inlineStr">
        <is>
          <t>→  Deductions</t>
        </is>
      </c>
      <c r="C44" s="299" t="inlineStr">
        <is>
          <t>Name each deduction in the amber label cell. Enter amounts in C &amp; D.</t>
        </is>
      </c>
      <c r="D44" s="203" t="n"/>
      <c r="E44" s="203" t="n"/>
      <c r="F44" s="203" t="n"/>
      <c r="G44" s="203" t="n"/>
      <c r="H44" s="203" t="n"/>
      <c r="I44" s="203" t="n"/>
      <c r="J44" s="214" t="n"/>
      <c r="K44" s="172" t="n"/>
      <c r="L44" s="172" t="n"/>
      <c r="M44" s="172" t="n"/>
      <c r="N44" s="172" t="n"/>
      <c r="O44" s="172" t="n"/>
      <c r="P44" s="172" t="n"/>
      <c r="Q44" s="172" t="n"/>
    </row>
    <row r="45" ht="19.5" customHeight="1" s="163">
      <c r="A45" s="172" t="n"/>
      <c r="B45" s="296" t="inlineStr">
        <is>
          <t>→  Taxable Income</t>
        </is>
      </c>
      <c r="C45" s="297" t="inlineStr">
        <is>
          <t>Gross income minus your total allowable deductions.</t>
        </is>
      </c>
      <c r="D45" s="203" t="n"/>
      <c r="E45" s="203" t="n"/>
      <c r="F45" s="203" t="n"/>
      <c r="G45" s="203" t="n"/>
      <c r="H45" s="203" t="n"/>
      <c r="I45" s="203" t="n"/>
      <c r="J45" s="214" t="n"/>
      <c r="K45" s="172" t="n"/>
      <c r="L45" s="172" t="n"/>
      <c r="M45" s="172" t="n"/>
      <c r="N45" s="172" t="n"/>
      <c r="O45" s="172" t="n"/>
      <c r="P45" s="172" t="n"/>
      <c r="Q45" s="172" t="n"/>
    </row>
    <row r="46" ht="19.5" customHeight="1" s="163">
      <c r="A46" s="172" t="n"/>
      <c r="B46" s="298" t="inlineStr">
        <is>
          <t>→  PAYG Withheld</t>
        </is>
      </c>
      <c r="C46" s="299" t="inlineStr">
        <is>
          <t>Enter total tax withheld from payslips — reduces your balance due.</t>
        </is>
      </c>
      <c r="D46" s="203" t="n"/>
      <c r="E46" s="203" t="n"/>
      <c r="F46" s="203" t="n"/>
      <c r="G46" s="203" t="n"/>
      <c r="H46" s="203" t="n"/>
      <c r="I46" s="203" t="n"/>
      <c r="J46" s="214" t="n"/>
      <c r="K46" s="172" t="n"/>
      <c r="L46" s="172" t="n"/>
      <c r="M46" s="172" t="n"/>
      <c r="N46" s="172" t="n"/>
      <c r="O46" s="172" t="n"/>
      <c r="P46" s="172" t="n"/>
      <c r="Q46" s="172" t="n"/>
    </row>
    <row r="47" ht="19.5" customHeight="1" s="163">
      <c r="A47" s="172" t="n"/>
      <c r="B47" s="296" t="inlineStr">
        <is>
          <t>→  Balance Due/(Refund)</t>
        </is>
      </c>
      <c r="C47" s="297" t="inlineStr">
        <is>
          <t>What you owe or get back at tax time after all offsets and PAYG.</t>
        </is>
      </c>
      <c r="D47" s="203" t="n"/>
      <c r="E47" s="203" t="n"/>
      <c r="F47" s="203" t="n"/>
      <c r="G47" s="203" t="n"/>
      <c r="H47" s="203" t="n"/>
      <c r="I47" s="203" t="n"/>
      <c r="J47" s="214" t="n"/>
      <c r="K47" s="172" t="n"/>
      <c r="L47" s="172" t="n"/>
      <c r="M47" s="172" t="n"/>
      <c r="N47" s="172" t="n"/>
      <c r="O47" s="172" t="n"/>
      <c r="P47" s="172" t="n"/>
      <c r="Q47" s="172" t="n"/>
    </row>
    <row r="48" ht="18" customHeight="1" s="163">
      <c r="A48" s="172" t="n"/>
      <c r="B48" s="298" t="inlineStr">
        <is>
          <t>→  Corp. Tax Rate</t>
        </is>
      </c>
      <c r="C48" s="299" t="inlineStr">
        <is>
          <t>Set in Assumptions — 30% standard, 25% Base Rate Entity / small business.</t>
        </is>
      </c>
      <c r="D48" s="215" t="n"/>
      <c r="E48" s="215" t="n"/>
      <c r="F48" s="215" t="n"/>
      <c r="G48" s="215" t="n"/>
      <c r="H48" s="215" t="n"/>
      <c r="I48" s="215" t="n"/>
      <c r="J48" s="214" t="n"/>
      <c r="K48" s="172" t="n"/>
      <c r="L48" s="172" t="n"/>
      <c r="M48" s="172" t="n"/>
      <c r="N48" s="172" t="n"/>
      <c r="O48" s="172" t="n"/>
      <c r="P48" s="172" t="n"/>
      <c r="Q48" s="172" t="n"/>
    </row>
    <row r="49" ht="18" customHeight="1" s="163">
      <c r="A49" s="172" t="n"/>
      <c r="B49" s="296" t="inlineStr">
        <is>
          <t>→  Disclaimer</t>
        </is>
      </c>
      <c r="C49" s="297" t="inlineStr">
        <is>
          <t>Planning purposes only — engage a registered tax agent for lodgement.</t>
        </is>
      </c>
      <c r="D49" s="215" t="n"/>
      <c r="E49" s="215" t="n"/>
      <c r="F49" s="215" t="n"/>
      <c r="G49" s="215" t="n"/>
      <c r="H49" s="215" t="n"/>
      <c r="I49" s="215" t="n"/>
      <c r="J49" s="214" t="n"/>
      <c r="K49" s="172" t="n"/>
      <c r="L49" s="172" t="n"/>
      <c r="M49" s="172" t="n"/>
      <c r="N49" s="172" t="n"/>
      <c r="O49" s="172" t="n"/>
      <c r="P49" s="172" t="n"/>
      <c r="Q49" s="172" t="n"/>
    </row>
    <row r="50" ht="18" customHeight="1" s="163">
      <c r="A50" s="172" t="n"/>
      <c r="B50" s="172" t="n"/>
      <c r="C50" s="172" t="n"/>
      <c r="D50" s="172" t="n"/>
      <c r="E50" s="172" t="n"/>
      <c r="F50" s="172" t="n"/>
      <c r="G50" s="172" t="n"/>
      <c r="H50" s="172" t="n"/>
      <c r="I50" s="172" t="n"/>
      <c r="J50" s="172" t="n"/>
      <c r="K50" s="172" t="n"/>
      <c r="L50" s="172" t="n"/>
      <c r="M50" s="172" t="n"/>
      <c r="N50" s="172" t="n"/>
      <c r="O50" s="172" t="n"/>
      <c r="P50" s="172" t="n"/>
      <c r="Q50" s="172" t="n"/>
    </row>
    <row r="51" ht="18" customHeight="1" s="163">
      <c r="A51" s="172" t="n"/>
      <c r="B51" s="172" t="n"/>
      <c r="C51" s="172" t="n"/>
      <c r="D51" s="172" t="n"/>
      <c r="E51" s="172" t="n"/>
      <c r="F51" s="172" t="n"/>
      <c r="G51" s="172" t="n"/>
      <c r="H51" s="172" t="n"/>
      <c r="I51" s="172" t="n"/>
      <c r="J51" s="172" t="n"/>
      <c r="K51" s="172" t="n"/>
      <c r="L51" s="172" t="n"/>
      <c r="M51" s="172" t="n"/>
      <c r="N51" s="172" t="n"/>
      <c r="O51" s="172" t="n"/>
      <c r="P51" s="172" t="n"/>
      <c r="Q51" s="172" t="n"/>
    </row>
    <row r="52" ht="18" customHeight="1" s="163">
      <c r="A52" s="172" t="n"/>
      <c r="B52" s="216">
        <f>"Prepared by Baobab Consulting  ·  Commercial in Confidence — "&amp;FamilyName&amp;" Group  ·  FY "&amp;FYYear</f>
        <v/>
      </c>
      <c r="C52" s="172" t="n"/>
      <c r="D52" s="172" t="n"/>
      <c r="E52" s="172" t="n"/>
      <c r="F52" s="172" t="n"/>
      <c r="G52" s="172" t="n"/>
      <c r="H52" s="172" t="n"/>
      <c r="I52" s="172" t="n"/>
      <c r="J52" s="172" t="n"/>
      <c r="K52" s="172" t="n"/>
      <c r="L52" s="172" t="n"/>
      <c r="M52" s="172" t="n"/>
      <c r="N52" s="172" t="n"/>
      <c r="O52" s="172" t="n"/>
      <c r="P52" s="172" t="n"/>
      <c r="Q52" s="172" t="n"/>
    </row>
    <row r="53" ht="18" customHeight="1" s="163"/>
    <row r="54" ht="18" customHeight="1" s="163"/>
    <row r="55" ht="18" customHeight="1" s="163"/>
    <row r="56" ht="18" customHeight="1" s="163"/>
    <row r="57" ht="18" customHeight="1" s="163"/>
    <row r="58" ht="18" customHeight="1" s="163"/>
    <row r="59" ht="18" customHeight="1" s="163"/>
    <row r="60" ht="18" customHeight="1" s="163"/>
    <row r="61" ht="18" customHeight="1" s="163"/>
    <row r="62" ht="18" customHeight="1" s="163"/>
    <row r="63" ht="18" customHeight="1" s="163"/>
    <row r="64" ht="18" customHeight="1" s="163"/>
    <row r="65" ht="18" customHeight="1" s="163"/>
    <row r="66" ht="18" customHeight="1" s="163"/>
    <row r="67" ht="18" customHeight="1" s="163"/>
    <row r="68" ht="18" customHeight="1" s="163"/>
    <row r="69" ht="18" customHeight="1" s="163"/>
    <row r="70" ht="18" customHeight="1" s="163"/>
    <row r="71" ht="18" customHeight="1" s="163"/>
    <row r="72" ht="18" customHeight="1" s="163"/>
    <row r="73" ht="18" customHeight="1" s="163"/>
    <row r="74" ht="18" customHeight="1" s="163"/>
    <row r="75" ht="18" customHeight="1" s="163"/>
    <row r="76" ht="18" customHeight="1" s="163"/>
    <row r="77" ht="18" customHeight="1" s="163"/>
    <row r="78" ht="18" customHeight="1" s="163"/>
    <row r="79" ht="18" customHeight="1" s="163"/>
    <row r="80" ht="18" customHeight="1" s="163"/>
    <row r="81" ht="18" customHeight="1" s="163"/>
    <row r="82" ht="18" customHeight="1" s="163"/>
    <row r="83" ht="18" customHeight="1" s="163"/>
    <row r="84" ht="18" customHeight="1" s="163"/>
    <row r="85" ht="18" customHeight="1" s="163"/>
    <row r="86" ht="18" customHeight="1" s="163"/>
    <row r="87" ht="18" customHeight="1" s="163"/>
    <row r="88" ht="18" customHeight="1" s="163"/>
    <row r="89" ht="18" customHeight="1" s="163"/>
  </sheetData>
  <mergeCells count="33">
    <mergeCell ref="F31:I31"/>
    <mergeCell ref="F27:I27"/>
    <mergeCell ref="B3:L3"/>
    <mergeCell ref="B33:E33"/>
    <mergeCell ref="B5:E5"/>
    <mergeCell ref="F14:I14"/>
    <mergeCell ref="G4:I4"/>
    <mergeCell ref="F16:I16"/>
    <mergeCell ref="F29:I29"/>
    <mergeCell ref="C42:I42"/>
    <mergeCell ref="F19:I19"/>
    <mergeCell ref="F25:I25"/>
    <mergeCell ref="F34:I34"/>
    <mergeCell ref="C45:I45"/>
    <mergeCell ref="F24:I24"/>
    <mergeCell ref="F15:I15"/>
    <mergeCell ref="F21:I21"/>
    <mergeCell ref="C47:I47"/>
    <mergeCell ref="C1:L1"/>
    <mergeCell ref="C41:I41"/>
    <mergeCell ref="B14:E14"/>
    <mergeCell ref="F36:I36"/>
    <mergeCell ref="B40:I40"/>
    <mergeCell ref="F18:I18"/>
    <mergeCell ref="B23:E23"/>
    <mergeCell ref="C44:I44"/>
    <mergeCell ref="F26:I26"/>
    <mergeCell ref="F17:I17"/>
    <mergeCell ref="F35:I35"/>
    <mergeCell ref="C43:I43"/>
    <mergeCell ref="C46:I46"/>
    <mergeCell ref="C2:L2"/>
    <mergeCell ref="F28:I28"/>
  </mergeCells>
  <printOptions horizontalCentered="0" verticalCentered="0" headings="0" gridLines="0" gridLinesSet="1"/>
  <pageMargins left="0.75" right="0.75" top="1" bottom="1" header="0.511805555555556" footer="0.511805555555556"/>
  <pageSetup orientation="portrait" paperSize="9" scale="100" fitToHeight="1" fitToWidth="1" pageOrder="downThenOver" blackAndWhite="0" draft="0" horizontalDpi="300" verticalDpi="300" copies="1"/>
  <headerFooter differentOddEven="0" differentFirst="0">
    <oddHeader>&amp;L&amp;"Calibri,Bold"&amp;9 Baobab Consulting  ·  CONFIDENTIAL&amp;R&amp;8 Page &amp;P of &amp;N  ·  FY &amp;D</oddHeader>
    <oddFooter>&amp;C&amp;"Calibri,Italic"&amp;7 © Baobab Group of Companies (Baobab CFO Pty Ltd Baobab Consulting). No unauthorised use or reproduction without prior written permission.</oddFooter>
    <evenHeader/>
    <evenFooter/>
    <firstHeader/>
    <firstFooter/>
  </headerFooter>
  <drawing xmlns:r="http://schemas.openxmlformats.org/officeDocument/2006/relationships" r:id="rId1"/>
</worksheet>
</file>

<file path=xl/worksheets/sheet6.xml><?xml version="1.0" encoding="utf-8"?>
<worksheet xmlns="http://schemas.openxmlformats.org/spreadsheetml/2006/main">
  <sheetPr filterMode="0">
    <outlinePr summaryBelow="1" summaryRight="1"/>
    <pageSetUpPr fitToPage="0"/>
  </sheetPr>
  <dimension ref="A1:U123"/>
  <sheetViews>
    <sheetView showFormulas="0" showGridLines="0" showRowColHeaders="1" showZeros="1" rightToLeft="0" tabSelected="0" showOutlineSymbols="1" defaultGridColor="1" view="normal" topLeftCell="A1" colorId="64" zoomScale="100" zoomScaleNormal="100" zoomScalePageLayoutView="100" workbookViewId="0">
      <pane xSplit="1" ySplit="4" topLeftCell="B35" activePane="bottomRight" state="frozen"/>
      <selection pane="topLeft" activeCell="A1" activeCellId="0" sqref="A1"/>
      <selection pane="topRight" activeCell="B1" activeCellId="0" sqref="B1"/>
      <selection pane="bottomLeft" activeCell="A35" activeCellId="0" sqref="A35"/>
      <selection pane="bottomRight" activeCell="A1" activeCellId="0" sqref="A1"/>
    </sheetView>
  </sheetViews>
  <sheetFormatPr baseColWidth="8" defaultColWidth="8.71484375" defaultRowHeight="15" zeroHeight="0" outlineLevelRow="0"/>
  <cols>
    <col width="2" customWidth="1" style="162" min="1" max="1"/>
    <col width="36" customWidth="1" style="162" min="2" max="2"/>
    <col width="13" customWidth="1" style="162" min="3" max="6"/>
    <col width="14" customWidth="1" style="162" min="7" max="7"/>
    <col width="3" customWidth="1" style="162" min="8" max="8"/>
    <col width="36" customWidth="1" style="162" min="9" max="9"/>
    <col width="13" customWidth="1" style="162" min="10" max="13"/>
    <col width="14" customWidth="1" style="162" min="14" max="14"/>
  </cols>
  <sheetData>
    <row r="1" ht="90" customHeight="1" s="163">
      <c r="A1" s="179" t="n"/>
      <c r="B1" s="179" t="n"/>
      <c r="C1" s="180">
        <f>FamilyName&amp;" Group — Annual Household Budget"</f>
        <v/>
      </c>
      <c r="D1" s="168" t="n"/>
      <c r="E1" s="168" t="n"/>
      <c r="F1" s="168" t="n"/>
      <c r="G1" s="168" t="n"/>
      <c r="H1" s="168" t="n"/>
      <c r="I1" s="168" t="n"/>
      <c r="J1" s="168" t="n"/>
      <c r="K1" s="168" t="n"/>
      <c r="L1" s="168" t="n"/>
      <c r="M1" s="168" t="n"/>
      <c r="N1" s="168" t="n"/>
      <c r="O1" s="168" t="n"/>
      <c r="P1" s="168" t="n"/>
      <c r="Q1" s="168" t="n"/>
      <c r="R1" s="179" t="n"/>
      <c r="S1" s="179" t="n"/>
      <c r="T1" s="179" t="n"/>
      <c r="U1" s="181" t="n"/>
    </row>
    <row r="2" ht="18" customHeight="1" s="163">
      <c r="A2" s="182" t="n"/>
      <c r="B2" s="182" t="n"/>
      <c r="C2" s="183">
        <f>"FY "&amp;FYYear&amp;"  ·  Baobab Consulting  ·  Confidential"</f>
        <v/>
      </c>
      <c r="D2" s="170" t="n"/>
      <c r="E2" s="170" t="n"/>
      <c r="F2" s="170" t="n"/>
      <c r="G2" s="170" t="n"/>
      <c r="H2" s="170" t="n"/>
      <c r="I2" s="170" t="n"/>
      <c r="J2" s="170" t="n"/>
      <c r="K2" s="170" t="n"/>
      <c r="L2" s="170" t="n"/>
      <c r="M2" s="170" t="n"/>
      <c r="N2" s="170" t="n"/>
      <c r="O2" s="170" t="n"/>
      <c r="P2" s="170" t="n"/>
      <c r="Q2" s="170" t="n"/>
      <c r="R2" s="182" t="n"/>
      <c r="S2" s="182" t="n"/>
      <c r="T2" s="182" t="n"/>
      <c r="U2" s="181" t="n"/>
    </row>
    <row r="3" ht="13.5" customHeight="1" s="163">
      <c r="A3" s="184" t="n"/>
      <c r="B3" s="171" t="inlineStr">
        <is>
          <t>© Baobab Group of Companies (incl. Baobab CFO Pty Ltd &amp; Baobab Consulting). No unauthorised use or reproduction without prior written permission.</t>
        </is>
      </c>
      <c r="C3" s="172" t="n"/>
      <c r="D3" s="172" t="n"/>
      <c r="E3" s="172" t="n"/>
      <c r="F3" s="172" t="n"/>
      <c r="G3" s="172" t="n"/>
      <c r="H3" s="172" t="n"/>
      <c r="I3" s="172" t="n"/>
      <c r="J3" s="172" t="n"/>
      <c r="K3" s="172" t="n"/>
      <c r="L3" s="172" t="n"/>
      <c r="M3" s="172" t="n"/>
      <c r="N3" s="172" t="n"/>
      <c r="O3" s="172" t="n"/>
      <c r="P3" s="172" t="n"/>
      <c r="Q3" s="172" t="n"/>
      <c r="R3" s="184" t="n"/>
      <c r="S3" s="184" t="n"/>
      <c r="T3" s="184" t="n"/>
      <c r="U3" s="181" t="n"/>
    </row>
    <row r="4" ht="36" customHeight="1" s="163">
      <c r="A4" s="172" t="n"/>
      <c r="B4" s="187" t="inlineStr">
        <is>
          <t>Expense Category</t>
        </is>
      </c>
      <c r="C4" s="300" t="inlineStr">
        <is>
          <t>Per Week
(enter here)</t>
        </is>
      </c>
      <c r="D4" s="300" t="inlineStr">
        <is>
          <t>Per Month
(enter here)</t>
        </is>
      </c>
      <c r="E4" s="300" t="inlineStr">
        <is>
          <t>Per Quarter
(enter here)</t>
        </is>
      </c>
      <c r="F4" s="300" t="inlineStr">
        <is>
          <t>Per Year
(enter here)</t>
        </is>
      </c>
      <c r="G4" s="301" t="inlineStr">
        <is>
          <t>ANNUAL
TOTAL</t>
        </is>
      </c>
      <c r="H4" s="172" t="n"/>
      <c r="I4" s="187" t="inlineStr">
        <is>
          <t>Expense Category</t>
        </is>
      </c>
      <c r="J4" s="300" t="inlineStr">
        <is>
          <t>Per Week
(enter here)</t>
        </is>
      </c>
      <c r="K4" s="300" t="inlineStr">
        <is>
          <t>Per Month
(enter here)</t>
        </is>
      </c>
      <c r="L4" s="300" t="inlineStr">
        <is>
          <t>Per Quarter
(enter here)</t>
        </is>
      </c>
      <c r="M4" s="300" t="inlineStr">
        <is>
          <t>Per Year
(enter here)</t>
        </is>
      </c>
      <c r="N4" s="301" t="inlineStr">
        <is>
          <t>ANNUAL
TOTAL</t>
        </is>
      </c>
      <c r="O4" s="172" t="n"/>
      <c r="P4" s="172" t="n"/>
      <c r="Q4" s="172" t="n"/>
      <c r="R4" s="172" t="n"/>
      <c r="S4" s="172" t="n"/>
      <c r="T4" s="172" t="n"/>
      <c r="U4" s="172" t="n"/>
    </row>
    <row r="5" ht="21.75" customHeight="1" s="163">
      <c r="A5" s="172" t="n"/>
      <c r="B5" s="185" t="inlineStr">
        <is>
          <t>GROCERIES &amp; FOOD</t>
        </is>
      </c>
      <c r="C5" s="198" t="n"/>
      <c r="D5" s="198" t="n"/>
      <c r="E5" s="198" t="n"/>
      <c r="F5" s="198" t="n"/>
      <c r="G5" s="199" t="n"/>
      <c r="H5" s="172" t="n"/>
      <c r="I5" s="185" t="inlineStr">
        <is>
          <t>ENTERTAINMENT — PERSON 1</t>
        </is>
      </c>
      <c r="J5" s="198" t="n"/>
      <c r="K5" s="198" t="n"/>
      <c r="L5" s="198" t="n"/>
      <c r="M5" s="198" t="n"/>
      <c r="N5" s="199" t="n"/>
      <c r="O5" s="172" t="n"/>
      <c r="P5" s="172" t="n"/>
      <c r="Q5" s="172" t="n"/>
      <c r="R5" s="172" t="n"/>
      <c r="S5" s="172" t="n"/>
      <c r="T5" s="172" t="n"/>
      <c r="U5" s="172" t="n"/>
    </row>
    <row r="6" ht="18" customHeight="1" s="163">
      <c r="A6" s="172" t="n"/>
      <c r="B6" s="200" t="inlineStr">
        <is>
          <t>Groceries / Supermarket</t>
        </is>
      </c>
      <c r="C6" s="249" t="n">
        <v>0</v>
      </c>
      <c r="D6" s="249" t="n">
        <v>0</v>
      </c>
      <c r="E6" s="249" t="n">
        <v>0</v>
      </c>
      <c r="F6" s="249" t="n">
        <v>0</v>
      </c>
      <c r="G6" s="243">
        <f>C6*52+D6*12+E6*4+F6</f>
        <v/>
      </c>
      <c r="H6" s="172" t="n"/>
      <c r="I6" s="191" t="inlineStr">
        <is>
          <t>Coffees</t>
        </is>
      </c>
      <c r="J6" s="249" t="n">
        <v>0</v>
      </c>
      <c r="K6" s="249" t="n">
        <v>0</v>
      </c>
      <c r="L6" s="249" t="n">
        <v>0</v>
      </c>
      <c r="M6" s="249" t="n">
        <v>0</v>
      </c>
      <c r="N6" s="243">
        <f>J6*52+K6*12+L6*4+M6</f>
        <v/>
      </c>
      <c r="O6" s="172" t="n"/>
      <c r="P6" s="172" t="n"/>
      <c r="Q6" s="172" t="n"/>
      <c r="R6" s="172" t="n"/>
      <c r="S6" s="172" t="n"/>
      <c r="T6" s="172" t="n"/>
      <c r="U6" s="172" t="n"/>
    </row>
    <row r="7" ht="18" customHeight="1" s="163">
      <c r="A7" s="172" t="n"/>
      <c r="B7" s="194" t="inlineStr">
        <is>
          <t>Fresh Produce / Deli</t>
        </is>
      </c>
      <c r="C7" s="249" t="n">
        <v>0</v>
      </c>
      <c r="D7" s="249" t="n">
        <v>0</v>
      </c>
      <c r="E7" s="249" t="n">
        <v>0</v>
      </c>
      <c r="F7" s="249" t="n">
        <v>0</v>
      </c>
      <c r="G7" s="243">
        <f>C7*52+D7*12+E7*4+F7</f>
        <v/>
      </c>
      <c r="H7" s="172" t="n"/>
      <c r="I7" s="194" t="inlineStr">
        <is>
          <t>Work Lunches</t>
        </is>
      </c>
      <c r="J7" s="249" t="n">
        <v>0</v>
      </c>
      <c r="K7" s="249" t="n">
        <v>0</v>
      </c>
      <c r="L7" s="249" t="n">
        <v>0</v>
      </c>
      <c r="M7" s="249" t="n">
        <v>0</v>
      </c>
      <c r="N7" s="243">
        <f>J7*52+K7*12+L7*4+M7</f>
        <v/>
      </c>
      <c r="O7" s="172" t="n"/>
      <c r="P7" s="172" t="n"/>
      <c r="Q7" s="172" t="n"/>
      <c r="R7" s="172" t="n"/>
      <c r="S7" s="172" t="n"/>
      <c r="T7" s="172" t="n"/>
      <c r="U7" s="172" t="n"/>
    </row>
    <row r="8" ht="18" customHeight="1" s="163">
      <c r="A8" s="172" t="n"/>
      <c r="B8" s="191" t="inlineStr">
        <is>
          <t>Baby / Pet Food</t>
        </is>
      </c>
      <c r="C8" s="249" t="n">
        <v>0</v>
      </c>
      <c r="D8" s="249" t="n">
        <v>0</v>
      </c>
      <c r="E8" s="249" t="n">
        <v>0</v>
      </c>
      <c r="F8" s="249" t="n">
        <v>0</v>
      </c>
      <c r="G8" s="243">
        <f>C8*52+D8*12+E8*4+F8</f>
        <v/>
      </c>
      <c r="H8" s="172" t="n"/>
      <c r="I8" s="191" t="inlineStr">
        <is>
          <t>Weekend Brunches / Lunches</t>
        </is>
      </c>
      <c r="J8" s="249" t="n">
        <v>0</v>
      </c>
      <c r="K8" s="249" t="n">
        <v>0</v>
      </c>
      <c r="L8" s="249" t="n">
        <v>0</v>
      </c>
      <c r="M8" s="249" t="n">
        <v>0</v>
      </c>
      <c r="N8" s="243">
        <f>J8*52+K8*12+L8*4+M8</f>
        <v/>
      </c>
      <c r="O8" s="172" t="n"/>
      <c r="P8" s="172" t="n"/>
      <c r="Q8" s="172" t="n"/>
      <c r="R8" s="172" t="n"/>
      <c r="S8" s="172" t="n"/>
      <c r="T8" s="172" t="n"/>
      <c r="U8" s="172" t="n"/>
    </row>
    <row r="9" ht="18" customHeight="1" s="163">
      <c r="A9" s="172" t="n"/>
      <c r="B9" s="259" t="inlineStr">
        <is>
          <t xml:space="preserve">  Total — GROCERIES &amp; FOOD</t>
        </is>
      </c>
      <c r="C9" s="248" t="n"/>
      <c r="D9" s="248" t="n"/>
      <c r="E9" s="248" t="n"/>
      <c r="F9" s="248" t="n"/>
      <c r="G9" s="248">
        <f>SUM(G6:G8)</f>
        <v/>
      </c>
      <c r="H9" s="172" t="n"/>
      <c r="I9" s="194" t="inlineStr">
        <is>
          <t>Dinners Out</t>
        </is>
      </c>
      <c r="J9" s="249" t="n">
        <v>0</v>
      </c>
      <c r="K9" s="249" t="n">
        <v>0</v>
      </c>
      <c r="L9" s="249" t="n">
        <v>0</v>
      </c>
      <c r="M9" s="249" t="n">
        <v>0</v>
      </c>
      <c r="N9" s="243">
        <f>J9*52+K9*12+L9*4+M9</f>
        <v/>
      </c>
      <c r="O9" s="172" t="n"/>
      <c r="P9" s="172" t="n"/>
      <c r="Q9" s="172" t="n"/>
      <c r="R9" s="172" t="n"/>
      <c r="S9" s="172" t="n"/>
      <c r="T9" s="172" t="n"/>
      <c r="U9" s="172" t="n"/>
    </row>
    <row r="10" ht="21.75" customHeight="1" s="163">
      <c r="A10" s="172" t="n"/>
      <c r="B10" s="185" t="inlineStr">
        <is>
          <t>HOME — PRINCIPAL RESIDENCE</t>
        </is>
      </c>
      <c r="C10" s="198" t="n"/>
      <c r="D10" s="198" t="n"/>
      <c r="E10" s="198" t="n"/>
      <c r="F10" s="198" t="n"/>
      <c r="G10" s="199" t="n"/>
      <c r="H10" s="172" t="n"/>
      <c r="I10" s="191" t="inlineStr">
        <is>
          <t>Pub / Bar</t>
        </is>
      </c>
      <c r="J10" s="249" t="n">
        <v>0</v>
      </c>
      <c r="K10" s="249" t="n">
        <v>0</v>
      </c>
      <c r="L10" s="249" t="n">
        <v>0</v>
      </c>
      <c r="M10" s="249" t="n">
        <v>0</v>
      </c>
      <c r="N10" s="243">
        <f>J10*52+K10*12+L10*4+M10</f>
        <v/>
      </c>
      <c r="O10" s="172" t="n"/>
      <c r="P10" s="172" t="n"/>
      <c r="Q10" s="172" t="n"/>
      <c r="R10" s="172" t="n"/>
      <c r="S10" s="172" t="n"/>
      <c r="T10" s="172" t="n"/>
      <c r="U10" s="172" t="n"/>
    </row>
    <row r="11" ht="18" customHeight="1" s="163">
      <c r="A11" s="172" t="n"/>
      <c r="B11" s="194" t="inlineStr">
        <is>
          <t>Council Rates</t>
        </is>
      </c>
      <c r="C11" s="249" t="n">
        <v>0</v>
      </c>
      <c r="D11" s="249" t="n">
        <v>0</v>
      </c>
      <c r="E11" s="249" t="n">
        <v>0</v>
      </c>
      <c r="F11" s="249" t="n">
        <v>0</v>
      </c>
      <c r="G11" s="243">
        <f>C11*52+D11*12+E11*4+F11</f>
        <v/>
      </c>
      <c r="H11" s="172" t="n"/>
      <c r="I11" s="194" t="inlineStr">
        <is>
          <t>Weekends Away</t>
        </is>
      </c>
      <c r="J11" s="249" t="n">
        <v>0</v>
      </c>
      <c r="K11" s="249" t="n">
        <v>0</v>
      </c>
      <c r="L11" s="249" t="n">
        <v>0</v>
      </c>
      <c r="M11" s="249" t="n">
        <v>0</v>
      </c>
      <c r="N11" s="243">
        <f>J11*52+K11*12+L11*4+M11</f>
        <v/>
      </c>
      <c r="O11" s="172" t="n"/>
      <c r="P11" s="172" t="n"/>
      <c r="Q11" s="172" t="n"/>
      <c r="R11" s="172" t="n"/>
      <c r="S11" s="172" t="n"/>
      <c r="T11" s="172" t="n"/>
      <c r="U11" s="172" t="n"/>
    </row>
    <row r="12" ht="18" customHeight="1" s="163">
      <c r="A12" s="172" t="n"/>
      <c r="B12" s="191" t="inlineStr">
        <is>
          <t>Water</t>
        </is>
      </c>
      <c r="C12" s="249" t="n">
        <v>0</v>
      </c>
      <c r="D12" s="249" t="n">
        <v>0</v>
      </c>
      <c r="E12" s="249" t="n">
        <v>0</v>
      </c>
      <c r="F12" s="249" t="n">
        <v>0</v>
      </c>
      <c r="G12" s="243">
        <f>C12*52+D12*12+E12*4+F12</f>
        <v/>
      </c>
      <c r="H12" s="172" t="n"/>
      <c r="I12" s="191" t="inlineStr">
        <is>
          <t>Personal Cash</t>
        </is>
      </c>
      <c r="J12" s="249" t="n">
        <v>0</v>
      </c>
      <c r="K12" s="249" t="n">
        <v>0</v>
      </c>
      <c r="L12" s="249" t="n">
        <v>0</v>
      </c>
      <c r="M12" s="249" t="n">
        <v>0</v>
      </c>
      <c r="N12" s="243">
        <f>J12*52+K12*12+L12*4+M12</f>
        <v/>
      </c>
      <c r="O12" s="172" t="n"/>
      <c r="P12" s="172" t="n"/>
      <c r="Q12" s="172" t="n"/>
      <c r="R12" s="172" t="n"/>
      <c r="S12" s="172" t="n"/>
      <c r="T12" s="172" t="n"/>
      <c r="U12" s="172" t="n"/>
    </row>
    <row r="13" ht="18" customHeight="1" s="163">
      <c r="A13" s="172" t="n"/>
      <c r="B13" s="194" t="inlineStr">
        <is>
          <t>Electricity</t>
        </is>
      </c>
      <c r="C13" s="249" t="n">
        <v>0</v>
      </c>
      <c r="D13" s="249" t="n">
        <v>0</v>
      </c>
      <c r="E13" s="249" t="n">
        <v>0</v>
      </c>
      <c r="F13" s="249" t="n">
        <v>0</v>
      </c>
      <c r="G13" s="243">
        <f>C13*52+D13*12+E13*4+F13</f>
        <v/>
      </c>
      <c r="H13" s="172" t="n"/>
      <c r="I13" s="247" t="inlineStr">
        <is>
          <t xml:space="preserve">  Total — ENTERTAINMENT — PERSON 1</t>
        </is>
      </c>
      <c r="J13" s="248" t="n"/>
      <c r="K13" s="248" t="n"/>
      <c r="L13" s="248" t="n"/>
      <c r="M13" s="248" t="n"/>
      <c r="N13" s="248">
        <f>SUM(N6:N12)</f>
        <v/>
      </c>
      <c r="O13" s="172" t="n"/>
      <c r="P13" s="172" t="n"/>
      <c r="Q13" s="172" t="n"/>
      <c r="R13" s="172" t="n"/>
      <c r="S13" s="172" t="n"/>
      <c r="T13" s="172" t="n"/>
      <c r="U13" s="172" t="n"/>
    </row>
    <row r="14" ht="18" customHeight="1" s="163">
      <c r="A14" s="172" t="n"/>
      <c r="B14" s="191" t="inlineStr">
        <is>
          <t>Gas</t>
        </is>
      </c>
      <c r="C14" s="249" t="n">
        <v>0</v>
      </c>
      <c r="D14" s="249" t="n">
        <v>0</v>
      </c>
      <c r="E14" s="249" t="n">
        <v>0</v>
      </c>
      <c r="F14" s="249" t="n">
        <v>0</v>
      </c>
      <c r="G14" s="243">
        <f>C14*52+D14*12+E14*4+F14</f>
        <v/>
      </c>
      <c r="H14" s="172" t="n"/>
      <c r="I14" s="185" t="inlineStr">
        <is>
          <t>ENTERTAINMENT — PERSON 2</t>
        </is>
      </c>
      <c r="J14" s="198" t="n"/>
      <c r="K14" s="198" t="n"/>
      <c r="L14" s="198" t="n"/>
      <c r="M14" s="198" t="n"/>
      <c r="N14" s="199" t="n"/>
      <c r="O14" s="172" t="n"/>
      <c r="P14" s="172" t="n"/>
      <c r="Q14" s="172" t="n"/>
      <c r="R14" s="172" t="n"/>
      <c r="S14" s="172" t="n"/>
      <c r="T14" s="172" t="n"/>
      <c r="U14" s="172" t="n"/>
    </row>
    <row r="15" ht="18" customHeight="1" s="163">
      <c r="A15" s="172" t="n"/>
      <c r="B15" s="194" t="inlineStr">
        <is>
          <t>Home Insurance</t>
        </is>
      </c>
      <c r="C15" s="249" t="n">
        <v>0</v>
      </c>
      <c r="D15" s="249" t="n">
        <v>0</v>
      </c>
      <c r="E15" s="249" t="n">
        <v>0</v>
      </c>
      <c r="F15" s="249" t="n">
        <v>0</v>
      </c>
      <c r="G15" s="243">
        <f>C15*52+D15*12+E15*4+F15</f>
        <v/>
      </c>
      <c r="H15" s="172" t="n"/>
      <c r="I15" s="194" t="inlineStr">
        <is>
          <t>Coffees</t>
        </is>
      </c>
      <c r="J15" s="249" t="n">
        <v>0</v>
      </c>
      <c r="K15" s="249" t="n">
        <v>0</v>
      </c>
      <c r="L15" s="249" t="n">
        <v>0</v>
      </c>
      <c r="M15" s="249" t="n">
        <v>0</v>
      </c>
      <c r="N15" s="243">
        <f>J15*52+K15*12+L15*4+M15</f>
        <v/>
      </c>
      <c r="O15" s="172" t="n"/>
      <c r="P15" s="172" t="n"/>
      <c r="Q15" s="172" t="n"/>
      <c r="R15" s="172" t="n"/>
      <c r="S15" s="172" t="n"/>
      <c r="T15" s="172" t="n"/>
      <c r="U15" s="172" t="n"/>
    </row>
    <row r="16" ht="18" customHeight="1" s="163">
      <c r="A16" s="172" t="n"/>
      <c r="B16" s="191" t="inlineStr">
        <is>
          <t>Contents Insurance</t>
        </is>
      </c>
      <c r="C16" s="249" t="n">
        <v>0</v>
      </c>
      <c r="D16" s="249" t="n">
        <v>0</v>
      </c>
      <c r="E16" s="249" t="n">
        <v>0</v>
      </c>
      <c r="F16" s="249" t="n">
        <v>0</v>
      </c>
      <c r="G16" s="243">
        <f>C16*52+D16*12+E16*4+F16</f>
        <v/>
      </c>
      <c r="H16" s="172" t="n"/>
      <c r="I16" s="191" t="inlineStr">
        <is>
          <t>Work Lunches</t>
        </is>
      </c>
      <c r="J16" s="249" t="n">
        <v>0</v>
      </c>
      <c r="K16" s="249" t="n">
        <v>0</v>
      </c>
      <c r="L16" s="249" t="n">
        <v>0</v>
      </c>
      <c r="M16" s="249" t="n">
        <v>0</v>
      </c>
      <c r="N16" s="243">
        <f>J16*52+K16*12+L16*4+M16</f>
        <v/>
      </c>
      <c r="O16" s="172" t="n"/>
      <c r="P16" s="172" t="n"/>
      <c r="Q16" s="172" t="n"/>
      <c r="R16" s="172" t="n"/>
      <c r="S16" s="172" t="n"/>
      <c r="T16" s="172" t="n"/>
      <c r="U16" s="172" t="n"/>
    </row>
    <row r="17" ht="18" customHeight="1" s="163">
      <c r="A17" s="172" t="n"/>
      <c r="B17" s="245" t="inlineStr">
        <is>
          <t>Major Household (furniture, appliances)</t>
        </is>
      </c>
      <c r="C17" s="249" t="n">
        <v>0</v>
      </c>
      <c r="D17" s="249" t="n">
        <v>0</v>
      </c>
      <c r="E17" s="249" t="n">
        <v>0</v>
      </c>
      <c r="F17" s="249" t="n">
        <v>0</v>
      </c>
      <c r="G17" s="243">
        <f>C17*52+D17*12+E17*4+F17</f>
        <v/>
      </c>
      <c r="H17" s="172" t="n"/>
      <c r="I17" s="194" t="inlineStr">
        <is>
          <t>Weekend Brunches / Lunches</t>
        </is>
      </c>
      <c r="J17" s="249" t="n">
        <v>0</v>
      </c>
      <c r="K17" s="249" t="n">
        <v>0</v>
      </c>
      <c r="L17" s="249" t="n">
        <v>0</v>
      </c>
      <c r="M17" s="249" t="n">
        <v>0</v>
      </c>
      <c r="N17" s="243">
        <f>J17*52+K17*12+L17*4+M17</f>
        <v/>
      </c>
      <c r="O17" s="172" t="n"/>
      <c r="P17" s="172" t="n"/>
      <c r="Q17" s="172" t="n"/>
      <c r="R17" s="172" t="n"/>
      <c r="S17" s="172" t="n"/>
      <c r="T17" s="172" t="n"/>
      <c r="U17" s="172" t="n"/>
    </row>
    <row r="18" ht="18" customHeight="1" s="163">
      <c r="A18" s="172" t="n"/>
      <c r="B18" s="200" t="inlineStr">
        <is>
          <t>Minor Maintenance &amp; Garden</t>
        </is>
      </c>
      <c r="C18" s="249" t="n">
        <v>0</v>
      </c>
      <c r="D18" s="249" t="n">
        <v>0</v>
      </c>
      <c r="E18" s="249" t="n">
        <v>0</v>
      </c>
      <c r="F18" s="249" t="n">
        <v>0</v>
      </c>
      <c r="G18" s="243">
        <f>C18*52+D18*12+E18*4+F18</f>
        <v/>
      </c>
      <c r="H18" s="172" t="n"/>
      <c r="I18" s="191" t="inlineStr">
        <is>
          <t>Dinners Out</t>
        </is>
      </c>
      <c r="J18" s="249" t="n">
        <v>0</v>
      </c>
      <c r="K18" s="249" t="n">
        <v>0</v>
      </c>
      <c r="L18" s="249" t="n">
        <v>0</v>
      </c>
      <c r="M18" s="249" t="n">
        <v>0</v>
      </c>
      <c r="N18" s="243">
        <f>J18*52+K18*12+L18*4+M18</f>
        <v/>
      </c>
      <c r="O18" s="172" t="n"/>
      <c r="P18" s="172" t="n"/>
      <c r="Q18" s="172" t="n"/>
      <c r="R18" s="172" t="n"/>
      <c r="S18" s="172" t="n"/>
      <c r="T18" s="172" t="n"/>
      <c r="U18" s="172" t="n"/>
    </row>
    <row r="19" ht="18" customHeight="1" s="163">
      <c r="A19" s="172" t="n"/>
      <c r="B19" s="259" t="inlineStr">
        <is>
          <t xml:space="preserve">  Total — HOME — PRINCIPAL RESIDENCE</t>
        </is>
      </c>
      <c r="C19" s="248" t="n"/>
      <c r="D19" s="248" t="n"/>
      <c r="E19" s="248" t="n"/>
      <c r="F19" s="248" t="n"/>
      <c r="G19" s="248">
        <f>SUM(G11:G18)</f>
        <v/>
      </c>
      <c r="H19" s="172" t="n"/>
      <c r="I19" s="194" t="inlineStr">
        <is>
          <t>Pub / Bar</t>
        </is>
      </c>
      <c r="J19" s="249" t="n">
        <v>0</v>
      </c>
      <c r="K19" s="249" t="n">
        <v>0</v>
      </c>
      <c r="L19" s="249" t="n">
        <v>0</v>
      </c>
      <c r="M19" s="249" t="n">
        <v>0</v>
      </c>
      <c r="N19" s="243">
        <f>J19*52+K19*12+L19*4+M19</f>
        <v/>
      </c>
      <c r="O19" s="172" t="n"/>
      <c r="P19" s="172" t="n"/>
      <c r="Q19" s="172" t="n"/>
      <c r="R19" s="172" t="n"/>
      <c r="S19" s="172" t="n"/>
      <c r="T19" s="172" t="n"/>
      <c r="U19" s="172" t="n"/>
    </row>
    <row r="20" ht="21.75" customHeight="1" s="163">
      <c r="A20" s="172" t="n"/>
      <c r="B20" s="185" t="inlineStr">
        <is>
          <t>POOL &amp; OUTDOOR</t>
        </is>
      </c>
      <c r="C20" s="198" t="n"/>
      <c r="D20" s="198" t="n"/>
      <c r="E20" s="198" t="n"/>
      <c r="F20" s="198" t="n"/>
      <c r="G20" s="199" t="n"/>
      <c r="H20" s="172" t="n"/>
      <c r="I20" s="191" t="inlineStr">
        <is>
          <t>Weekends Away</t>
        </is>
      </c>
      <c r="J20" s="249" t="n">
        <v>0</v>
      </c>
      <c r="K20" s="249" t="n">
        <v>0</v>
      </c>
      <c r="L20" s="249" t="n">
        <v>0</v>
      </c>
      <c r="M20" s="249" t="n">
        <v>0</v>
      </c>
      <c r="N20" s="243">
        <f>J20*52+K20*12+L20*4+M20</f>
        <v/>
      </c>
      <c r="O20" s="172" t="n"/>
      <c r="P20" s="172" t="n"/>
      <c r="Q20" s="172" t="n"/>
      <c r="R20" s="172" t="n"/>
      <c r="S20" s="172" t="n"/>
      <c r="T20" s="172" t="n"/>
      <c r="U20" s="172" t="n"/>
    </row>
    <row r="21" ht="18" customHeight="1" s="163">
      <c r="A21" s="172" t="n"/>
      <c r="B21" s="194" t="inlineStr">
        <is>
          <t>Pool Maintenance</t>
        </is>
      </c>
      <c r="C21" s="249" t="n">
        <v>0</v>
      </c>
      <c r="D21" s="249" t="n">
        <v>0</v>
      </c>
      <c r="E21" s="249" t="n">
        <v>0</v>
      </c>
      <c r="F21" s="249" t="n">
        <v>0</v>
      </c>
      <c r="G21" s="243">
        <f>C21*52+D21*12+E21*4+F21</f>
        <v/>
      </c>
      <c r="H21" s="172" t="n"/>
      <c r="I21" s="194" t="inlineStr">
        <is>
          <t>Personal Cash</t>
        </is>
      </c>
      <c r="J21" s="249" t="n">
        <v>0</v>
      </c>
      <c r="K21" s="249" t="n">
        <v>0</v>
      </c>
      <c r="L21" s="249" t="n">
        <v>0</v>
      </c>
      <c r="M21" s="249" t="n">
        <v>0</v>
      </c>
      <c r="N21" s="243">
        <f>J21*52+K21*12+L21*4+M21</f>
        <v/>
      </c>
      <c r="O21" s="172" t="n"/>
      <c r="P21" s="172" t="n"/>
      <c r="Q21" s="172" t="n"/>
      <c r="R21" s="172" t="n"/>
      <c r="S21" s="172" t="n"/>
      <c r="T21" s="172" t="n"/>
      <c r="U21" s="172" t="n"/>
    </row>
    <row r="22" ht="18" customHeight="1" s="163">
      <c r="A22" s="172" t="n"/>
      <c r="B22" s="191" t="inlineStr">
        <is>
          <t>Gardening / Lawn</t>
        </is>
      </c>
      <c r="C22" s="249" t="n">
        <v>0</v>
      </c>
      <c r="D22" s="249" t="n">
        <v>0</v>
      </c>
      <c r="E22" s="249" t="n">
        <v>0</v>
      </c>
      <c r="F22" s="249" t="n">
        <v>0</v>
      </c>
      <c r="G22" s="243">
        <f>C22*52+D22*12+E22*4+F22</f>
        <v/>
      </c>
      <c r="H22" s="172" t="n"/>
      <c r="I22" s="247" t="inlineStr">
        <is>
          <t xml:space="preserve">  Total — ENTERTAINMENT — PERSON 2</t>
        </is>
      </c>
      <c r="J22" s="248" t="n"/>
      <c r="K22" s="248" t="n"/>
      <c r="L22" s="248" t="n"/>
      <c r="M22" s="248" t="n"/>
      <c r="N22" s="248">
        <f>SUM(N15:N21)</f>
        <v/>
      </c>
      <c r="O22" s="172" t="n"/>
      <c r="P22" s="172" t="n"/>
      <c r="Q22" s="172" t="n"/>
      <c r="R22" s="172" t="n"/>
      <c r="S22" s="172" t="n"/>
      <c r="T22" s="172" t="n"/>
      <c r="U22" s="172" t="n"/>
    </row>
    <row r="23" ht="18" customHeight="1" s="163">
      <c r="A23" s="172" t="n"/>
      <c r="B23" s="259" t="inlineStr">
        <is>
          <t xml:space="preserve">  Total — POOL &amp; OUTDOOR</t>
        </is>
      </c>
      <c r="C23" s="248" t="n"/>
      <c r="D23" s="248" t="n"/>
      <c r="E23" s="248" t="n"/>
      <c r="F23" s="248" t="n"/>
      <c r="G23" s="248">
        <f>SUM(G21:G22)</f>
        <v/>
      </c>
      <c r="H23" s="172" t="n"/>
      <c r="I23" s="185" t="inlineStr">
        <is>
          <t>ENTERTAINMENT — JOINT / FAMILY</t>
        </is>
      </c>
      <c r="J23" s="198" t="n"/>
      <c r="K23" s="198" t="n"/>
      <c r="L23" s="198" t="n"/>
      <c r="M23" s="198" t="n"/>
      <c r="N23" s="199" t="n"/>
      <c r="O23" s="172" t="n"/>
      <c r="P23" s="172" t="n"/>
      <c r="Q23" s="172" t="n"/>
      <c r="R23" s="172" t="n"/>
      <c r="S23" s="172" t="n"/>
      <c r="T23" s="172" t="n"/>
      <c r="U23" s="172" t="n"/>
    </row>
    <row r="24" ht="21.75" customHeight="1" s="163">
      <c r="A24" s="172" t="n"/>
      <c r="B24" s="185" t="inlineStr">
        <is>
          <t>TELEPHONE &amp; INTERNET</t>
        </is>
      </c>
      <c r="C24" s="198" t="n"/>
      <c r="D24" s="198" t="n"/>
      <c r="E24" s="198" t="n"/>
      <c r="F24" s="198" t="n"/>
      <c r="G24" s="199" t="n"/>
      <c r="H24" s="172" t="n"/>
      <c r="I24" s="191" t="inlineStr">
        <is>
          <t>Restaurants</t>
        </is>
      </c>
      <c r="J24" s="249" t="n">
        <v>0</v>
      </c>
      <c r="K24" s="249" t="n">
        <v>0</v>
      </c>
      <c r="L24" s="249" t="n">
        <v>0</v>
      </c>
      <c r="M24" s="249" t="n">
        <v>0</v>
      </c>
      <c r="N24" s="243">
        <f>J24*52+K24*12+L24*4+M24</f>
        <v/>
      </c>
      <c r="O24" s="172" t="n"/>
      <c r="P24" s="172" t="n"/>
      <c r="Q24" s="172" t="n"/>
      <c r="R24" s="172" t="n"/>
      <c r="S24" s="172" t="n"/>
      <c r="T24" s="172" t="n"/>
      <c r="U24" s="172" t="n"/>
    </row>
    <row r="25" ht="18" customHeight="1" s="163">
      <c r="A25" s="172" t="n"/>
      <c r="B25" s="194" t="inlineStr">
        <is>
          <t>Fixed Line / NBN</t>
        </is>
      </c>
      <c r="C25" s="249" t="n">
        <v>0</v>
      </c>
      <c r="D25" s="249" t="n">
        <v>0</v>
      </c>
      <c r="E25" s="249" t="n">
        <v>0</v>
      </c>
      <c r="F25" s="249" t="n">
        <v>0</v>
      </c>
      <c r="G25" s="243">
        <f>C25*52+D25*12+E25*4+F25</f>
        <v/>
      </c>
      <c r="H25" s="172" t="n"/>
      <c r="I25" s="194" t="inlineStr">
        <is>
          <t>Fast Food / Takeaway</t>
        </is>
      </c>
      <c r="J25" s="249" t="n">
        <v>0</v>
      </c>
      <c r="K25" s="249" t="n">
        <v>0</v>
      </c>
      <c r="L25" s="249" t="n">
        <v>0</v>
      </c>
      <c r="M25" s="249" t="n">
        <v>0</v>
      </c>
      <c r="N25" s="243">
        <f>J25*52+K25*12+L25*4+M25</f>
        <v/>
      </c>
      <c r="O25" s="172" t="n"/>
      <c r="P25" s="172" t="n"/>
      <c r="Q25" s="172" t="n"/>
      <c r="R25" s="172" t="n"/>
      <c r="S25" s="172" t="n"/>
      <c r="T25" s="172" t="n"/>
      <c r="U25" s="172" t="n"/>
    </row>
    <row r="26" ht="18" customHeight="1" s="163">
      <c r="A26" s="172" t="n"/>
      <c r="B26" s="191" t="inlineStr">
        <is>
          <t>Mobile — Person 1</t>
        </is>
      </c>
      <c r="C26" s="249" t="n">
        <v>0</v>
      </c>
      <c r="D26" s="249" t="n">
        <v>0</v>
      </c>
      <c r="E26" s="249" t="n">
        <v>0</v>
      </c>
      <c r="F26" s="249" t="n">
        <v>0</v>
      </c>
      <c r="G26" s="243">
        <f>C26*52+D26*12+E26*4+F26</f>
        <v/>
      </c>
      <c r="H26" s="172" t="n"/>
      <c r="I26" s="191" t="inlineStr">
        <is>
          <t>Outings (cinema, sport, concerts)</t>
        </is>
      </c>
      <c r="J26" s="249" t="n">
        <v>0</v>
      </c>
      <c r="K26" s="249" t="n">
        <v>0</v>
      </c>
      <c r="L26" s="249" t="n">
        <v>0</v>
      </c>
      <c r="M26" s="249" t="n">
        <v>0</v>
      </c>
      <c r="N26" s="243">
        <f>J26*52+K26*12+L26*4+M26</f>
        <v/>
      </c>
      <c r="O26" s="172" t="n"/>
      <c r="P26" s="172" t="n"/>
      <c r="Q26" s="172" t="n"/>
      <c r="R26" s="172" t="n"/>
      <c r="S26" s="172" t="n"/>
      <c r="T26" s="172" t="n"/>
      <c r="U26" s="172" t="n"/>
    </row>
    <row r="27" ht="18" customHeight="1" s="163">
      <c r="A27" s="172" t="n"/>
      <c r="B27" s="194" t="inlineStr">
        <is>
          <t>Mobile — Person 2</t>
        </is>
      </c>
      <c r="C27" s="249" t="n">
        <v>0</v>
      </c>
      <c r="D27" s="249" t="n">
        <v>0</v>
      </c>
      <c r="E27" s="249" t="n">
        <v>0</v>
      </c>
      <c r="F27" s="249" t="n">
        <v>0</v>
      </c>
      <c r="G27" s="243">
        <f>C27*52+D27*12+E27*4+F27</f>
        <v/>
      </c>
      <c r="H27" s="172" t="n"/>
      <c r="I27" s="194" t="inlineStr">
        <is>
          <t>Kids Entertainment</t>
        </is>
      </c>
      <c r="J27" s="249" t="n">
        <v>0</v>
      </c>
      <c r="K27" s="249" t="n">
        <v>0</v>
      </c>
      <c r="L27" s="249" t="n">
        <v>0</v>
      </c>
      <c r="M27" s="249" t="n">
        <v>0</v>
      </c>
      <c r="N27" s="243">
        <f>J27*52+K27*12+L27*4+M27</f>
        <v/>
      </c>
      <c r="O27" s="172" t="n"/>
      <c r="P27" s="172" t="n"/>
      <c r="Q27" s="172" t="n"/>
      <c r="R27" s="172" t="n"/>
      <c r="S27" s="172" t="n"/>
      <c r="T27" s="172" t="n"/>
      <c r="U27" s="172" t="n"/>
    </row>
    <row r="28" ht="18" customHeight="1" s="163">
      <c r="A28" s="172" t="n"/>
      <c r="B28" s="191" t="inlineStr">
        <is>
          <t>Mobile — Dependents</t>
        </is>
      </c>
      <c r="C28" s="249" t="n">
        <v>0</v>
      </c>
      <c r="D28" s="249" t="n">
        <v>0</v>
      </c>
      <c r="E28" s="249" t="n">
        <v>0</v>
      </c>
      <c r="F28" s="249" t="n">
        <v>0</v>
      </c>
      <c r="G28" s="243">
        <f>C28*52+D28*12+E28*4+F28</f>
        <v/>
      </c>
      <c r="H28" s="172" t="n"/>
      <c r="I28" s="191" t="inlineStr">
        <is>
          <t>Beer &amp; Wine (home)</t>
        </is>
      </c>
      <c r="J28" s="249" t="n">
        <v>0</v>
      </c>
      <c r="K28" s="249" t="n">
        <v>0</v>
      </c>
      <c r="L28" s="249" t="n">
        <v>0</v>
      </c>
      <c r="M28" s="249" t="n">
        <v>0</v>
      </c>
      <c r="N28" s="243">
        <f>J28*52+K28*12+L28*4+M28</f>
        <v/>
      </c>
      <c r="O28" s="172" t="n"/>
      <c r="P28" s="172" t="n"/>
      <c r="Q28" s="172" t="n"/>
      <c r="R28" s="172" t="n"/>
      <c r="S28" s="172" t="n"/>
      <c r="T28" s="172" t="n"/>
      <c r="U28" s="172" t="n"/>
    </row>
    <row r="29" ht="18" customHeight="1" s="163">
      <c r="A29" s="172" t="n"/>
      <c r="B29" s="259" t="inlineStr">
        <is>
          <t xml:space="preserve">  Total — TELEPHONE &amp; INTERNET</t>
        </is>
      </c>
      <c r="C29" s="248" t="n"/>
      <c r="D29" s="248" t="n"/>
      <c r="E29" s="248" t="n"/>
      <c r="F29" s="248" t="n"/>
      <c r="G29" s="248">
        <f>SUM(G25:G28)</f>
        <v/>
      </c>
      <c r="H29" s="172" t="n"/>
      <c r="I29" s="194" t="inlineStr">
        <is>
          <t>Home Entertaining</t>
        </is>
      </c>
      <c r="J29" s="249" t="n">
        <v>0</v>
      </c>
      <c r="K29" s="249" t="n">
        <v>0</v>
      </c>
      <c r="L29" s="249" t="n">
        <v>0</v>
      </c>
      <c r="M29" s="249" t="n">
        <v>0</v>
      </c>
      <c r="N29" s="243">
        <f>J29*52+K29*12+L29*4+M29</f>
        <v/>
      </c>
      <c r="O29" s="172" t="n"/>
      <c r="P29" s="172" t="n"/>
      <c r="Q29" s="172" t="n"/>
      <c r="R29" s="172" t="n"/>
      <c r="S29" s="172" t="n"/>
      <c r="T29" s="172" t="n"/>
      <c r="U29" s="172" t="n"/>
    </row>
    <row r="30" ht="21.75" customHeight="1" s="163">
      <c r="A30" s="172" t="n"/>
      <c r="B30" s="185" t="inlineStr">
        <is>
          <t>STREAMING &amp; SUBSCRIPTIONS</t>
        </is>
      </c>
      <c r="C30" s="198" t="n"/>
      <c r="D30" s="198" t="n"/>
      <c r="E30" s="198" t="n"/>
      <c r="F30" s="198" t="n"/>
      <c r="G30" s="199" t="n"/>
      <c r="H30" s="172" t="n"/>
      <c r="I30" s="191" t="inlineStr">
        <is>
          <t>Family Activities</t>
        </is>
      </c>
      <c r="J30" s="249" t="n">
        <v>0</v>
      </c>
      <c r="K30" s="249" t="n">
        <v>0</v>
      </c>
      <c r="L30" s="249" t="n">
        <v>0</v>
      </c>
      <c r="M30" s="249" t="n">
        <v>0</v>
      </c>
      <c r="N30" s="243">
        <f>J30*52+K30*12+L30*4+M30</f>
        <v/>
      </c>
      <c r="O30" s="172" t="n"/>
      <c r="P30" s="172" t="n"/>
      <c r="Q30" s="172" t="n"/>
      <c r="R30" s="172" t="n"/>
      <c r="S30" s="172" t="n"/>
      <c r="T30" s="172" t="n"/>
      <c r="U30" s="172" t="n"/>
    </row>
    <row r="31" ht="18" customHeight="1" s="163">
      <c r="A31" s="172" t="n"/>
      <c r="B31" s="245" t="inlineStr">
        <is>
          <t>Netflix / Stan / Disney</t>
        </is>
      </c>
      <c r="C31" s="249" t="n">
        <v>0</v>
      </c>
      <c r="D31" s="249" t="n">
        <v>0</v>
      </c>
      <c r="E31" s="249" t="n">
        <v>0</v>
      </c>
      <c r="F31" s="249" t="n">
        <v>0</v>
      </c>
      <c r="G31" s="243">
        <f>C31*52+D31*12+E31*4+F31</f>
        <v/>
      </c>
      <c r="H31" s="172" t="n"/>
      <c r="I31" s="247" t="inlineStr">
        <is>
          <t xml:space="preserve">  Total — ENTERTAINMENT — JOINT / FAMILY</t>
        </is>
      </c>
      <c r="J31" s="248" t="n"/>
      <c r="K31" s="248" t="n"/>
      <c r="L31" s="248" t="n"/>
      <c r="M31" s="248" t="n"/>
      <c r="N31" s="248">
        <f>SUM(N24:N30)</f>
        <v/>
      </c>
      <c r="O31" s="172" t="n"/>
      <c r="P31" s="172" t="n"/>
      <c r="Q31" s="172" t="n"/>
      <c r="R31" s="172" t="n"/>
      <c r="S31" s="172" t="n"/>
      <c r="T31" s="172" t="n"/>
      <c r="U31" s="172" t="n"/>
    </row>
    <row r="32" ht="18" customHeight="1" s="163">
      <c r="A32" s="172" t="n"/>
      <c r="B32" s="191" t="inlineStr">
        <is>
          <t>Spotify / Music</t>
        </is>
      </c>
      <c r="C32" s="249" t="n">
        <v>0</v>
      </c>
      <c r="D32" s="249" t="n">
        <v>0</v>
      </c>
      <c r="E32" s="249" t="n">
        <v>0</v>
      </c>
      <c r="F32" s="249" t="n">
        <v>0</v>
      </c>
      <c r="G32" s="243">
        <f>C32*52+D32*12+E32*4+F32</f>
        <v/>
      </c>
      <c r="H32" s="172" t="n"/>
      <c r="I32" s="172" t="n"/>
      <c r="J32" s="172" t="n"/>
      <c r="K32" s="172" t="n"/>
      <c r="L32" s="172" t="n"/>
      <c r="M32" s="172" t="n"/>
      <c r="N32" s="172" t="n"/>
      <c r="O32" s="172" t="n"/>
      <c r="P32" s="172" t="n"/>
      <c r="Q32" s="172" t="n"/>
      <c r="R32" s="172" t="n"/>
      <c r="S32" s="172" t="n"/>
      <c r="T32" s="172" t="n"/>
      <c r="U32" s="172" t="n"/>
    </row>
    <row r="33" ht="18" customHeight="1" s="163">
      <c r="A33" s="172" t="n"/>
      <c r="B33" s="194" t="inlineStr">
        <is>
          <t>News / Magazines</t>
        </is>
      </c>
      <c r="C33" s="249" t="n">
        <v>0</v>
      </c>
      <c r="D33" s="249" t="n">
        <v>0</v>
      </c>
      <c r="E33" s="249" t="n">
        <v>0</v>
      </c>
      <c r="F33" s="249" t="n">
        <v>0</v>
      </c>
      <c r="G33" s="243">
        <f>C33*52+D33*12+E33*4+F33</f>
        <v/>
      </c>
      <c r="H33" s="172" t="n"/>
      <c r="I33" s="186" t="inlineStr">
        <is>
          <t>TOTAL ENTERTAINMENT SPEND</t>
        </is>
      </c>
      <c r="J33" s="198" t="n"/>
      <c r="K33" s="198" t="n"/>
      <c r="L33" s="198" t="n"/>
      <c r="M33" s="198" t="n"/>
      <c r="N33" s="199" t="n"/>
      <c r="O33" s="172" t="n"/>
      <c r="P33" s="172" t="n"/>
      <c r="Q33" s="172" t="n"/>
      <c r="R33" s="172" t="n"/>
      <c r="S33" s="172" t="n"/>
      <c r="T33" s="172" t="n"/>
      <c r="U33" s="172" t="n"/>
    </row>
    <row r="34" ht="18" customHeight="1" s="163">
      <c r="A34" s="172" t="n"/>
      <c r="B34" s="191" t="inlineStr">
        <is>
          <t>Other Subscriptions</t>
        </is>
      </c>
      <c r="C34" s="249" t="n">
        <v>0</v>
      </c>
      <c r="D34" s="249" t="n">
        <v>0</v>
      </c>
      <c r="E34" s="249" t="n">
        <v>0</v>
      </c>
      <c r="F34" s="249" t="n">
        <v>0</v>
      </c>
      <c r="G34" s="243">
        <f>C34*52+D34*12+E34*4+F34</f>
        <v/>
      </c>
      <c r="H34" s="172" t="n"/>
      <c r="I34" s="247" t="inlineStr">
        <is>
          <t>TOTAL ENTERTAINMENT</t>
        </is>
      </c>
      <c r="J34" s="248" t="n"/>
      <c r="K34" s="248" t="n"/>
      <c r="L34" s="248" t="n"/>
      <c r="M34" s="248" t="n"/>
      <c r="N34" s="248">
        <f>N13+N22+N31</f>
        <v/>
      </c>
      <c r="O34" s="172" t="n"/>
      <c r="P34" s="172" t="n"/>
      <c r="Q34" s="172" t="n"/>
      <c r="R34" s="172" t="n"/>
      <c r="S34" s="172" t="n"/>
      <c r="T34" s="172" t="n"/>
      <c r="U34" s="172" t="n"/>
    </row>
    <row r="35" ht="18" customHeight="1" s="163">
      <c r="A35" s="172" t="n"/>
      <c r="B35" s="259" t="inlineStr">
        <is>
          <t xml:space="preserve">  Total — STREAMING &amp; SUBSCRIPTIONS</t>
        </is>
      </c>
      <c r="C35" s="248" t="n"/>
      <c r="D35" s="248" t="n"/>
      <c r="E35" s="248" t="n"/>
      <c r="F35" s="248" t="n"/>
      <c r="G35" s="248">
        <f>SUM(G31:G34)</f>
        <v/>
      </c>
      <c r="H35" s="172" t="n"/>
      <c r="I35" s="172" t="n"/>
      <c r="J35" s="172" t="n"/>
      <c r="K35" s="172" t="n"/>
      <c r="L35" s="172" t="n"/>
      <c r="M35" s="172" t="n"/>
      <c r="N35" s="172" t="n"/>
      <c r="O35" s="172" t="n"/>
      <c r="P35" s="172" t="n"/>
      <c r="Q35" s="172" t="n"/>
      <c r="R35" s="172" t="n"/>
      <c r="S35" s="172" t="n"/>
      <c r="T35" s="172" t="n"/>
      <c r="U35" s="172" t="n"/>
    </row>
    <row r="36" ht="21.75" customHeight="1" s="163">
      <c r="A36" s="172" t="n"/>
      <c r="B36" s="185" t="inlineStr">
        <is>
          <t>VEHICLE 1</t>
        </is>
      </c>
      <c r="C36" s="198" t="n"/>
      <c r="D36" s="198" t="n"/>
      <c r="E36" s="198" t="n"/>
      <c r="F36" s="198" t="n"/>
      <c r="G36" s="199" t="n"/>
      <c r="H36" s="172" t="n"/>
      <c r="I36" s="172" t="n"/>
      <c r="J36" s="172" t="n"/>
      <c r="K36" s="172" t="n"/>
      <c r="L36" s="172" t="n"/>
      <c r="M36" s="172" t="n"/>
      <c r="N36" s="172" t="n"/>
      <c r="O36" s="172" t="n"/>
      <c r="P36" s="172" t="n"/>
      <c r="Q36" s="172" t="n"/>
      <c r="R36" s="172" t="n"/>
      <c r="S36" s="172" t="n"/>
      <c r="T36" s="172" t="n"/>
      <c r="U36" s="172" t="n"/>
    </row>
    <row r="37" ht="18" customHeight="1" s="163">
      <c r="A37" s="172" t="n"/>
      <c r="B37" s="194" t="inlineStr">
        <is>
          <t>Insurance</t>
        </is>
      </c>
      <c r="C37" s="249" t="n">
        <v>0</v>
      </c>
      <c r="D37" s="249" t="n">
        <v>0</v>
      </c>
      <c r="E37" s="249" t="n">
        <v>0</v>
      </c>
      <c r="F37" s="249" t="n">
        <v>0</v>
      </c>
      <c r="G37" s="243">
        <f>C37*52+D37*12+E37*4+F37</f>
        <v/>
      </c>
      <c r="H37" s="172" t="n"/>
      <c r="I37" s="172" t="n"/>
      <c r="J37" s="172" t="n"/>
      <c r="K37" s="172" t="n"/>
      <c r="L37" s="172" t="n"/>
      <c r="M37" s="172" t="n"/>
      <c r="N37" s="172" t="n"/>
      <c r="O37" s="172" t="n"/>
      <c r="P37" s="172" t="n"/>
      <c r="Q37" s="172" t="n"/>
      <c r="R37" s="172" t="n"/>
      <c r="S37" s="172" t="n"/>
      <c r="T37" s="172" t="n"/>
      <c r="U37" s="172" t="n"/>
    </row>
    <row r="38" ht="18" customHeight="1" s="163">
      <c r="A38" s="172" t="n"/>
      <c r="B38" s="191" t="inlineStr">
        <is>
          <t>Registration</t>
        </is>
      </c>
      <c r="C38" s="249" t="n">
        <v>0</v>
      </c>
      <c r="D38" s="249" t="n">
        <v>0</v>
      </c>
      <c r="E38" s="249" t="n">
        <v>0</v>
      </c>
      <c r="F38" s="249" t="n">
        <v>0</v>
      </c>
      <c r="G38" s="243">
        <f>C38*52+D38*12+E38*4+F38</f>
        <v/>
      </c>
      <c r="H38" s="172" t="n"/>
      <c r="I38" s="172" t="n"/>
      <c r="J38" s="172" t="n"/>
      <c r="K38" s="172" t="n"/>
      <c r="L38" s="172" t="n"/>
      <c r="M38" s="172" t="n"/>
      <c r="N38" s="172" t="n"/>
      <c r="O38" s="172" t="n"/>
      <c r="P38" s="172" t="n"/>
      <c r="Q38" s="172" t="n"/>
      <c r="R38" s="172" t="n"/>
      <c r="S38" s="172" t="n"/>
      <c r="T38" s="172" t="n"/>
      <c r="U38" s="172" t="n"/>
    </row>
    <row r="39" ht="18" customHeight="1" s="163">
      <c r="A39" s="172" t="n"/>
      <c r="B39" s="194" t="inlineStr">
        <is>
          <t>Lease / Loan Payment</t>
        </is>
      </c>
      <c r="C39" s="249" t="n">
        <v>0</v>
      </c>
      <c r="D39" s="249" t="n">
        <v>0</v>
      </c>
      <c r="E39" s="249" t="n">
        <v>0</v>
      </c>
      <c r="F39" s="249" t="n">
        <v>0</v>
      </c>
      <c r="G39" s="243">
        <f>C39*52+D39*12+E39*4+F39</f>
        <v/>
      </c>
      <c r="H39" s="172" t="n"/>
      <c r="I39" s="172" t="n"/>
      <c r="J39" s="172" t="n"/>
      <c r="K39" s="172" t="n"/>
      <c r="L39" s="172" t="n"/>
      <c r="M39" s="172" t="n"/>
      <c r="N39" s="172" t="n"/>
      <c r="O39" s="172" t="n"/>
      <c r="P39" s="172" t="n"/>
      <c r="Q39" s="172" t="n"/>
      <c r="R39" s="172" t="n"/>
      <c r="S39" s="172" t="n"/>
      <c r="T39" s="172" t="n"/>
      <c r="U39" s="172" t="n"/>
    </row>
    <row r="40" ht="18" customHeight="1" s="163">
      <c r="A40" s="172" t="n"/>
      <c r="B40" s="191" t="inlineStr">
        <is>
          <t>Fuel</t>
        </is>
      </c>
      <c r="C40" s="249" t="n">
        <v>0</v>
      </c>
      <c r="D40" s="249" t="n">
        <v>0</v>
      </c>
      <c r="E40" s="249" t="n">
        <v>0</v>
      </c>
      <c r="F40" s="249" t="n">
        <v>0</v>
      </c>
      <c r="G40" s="243">
        <f>C40*52+D40*12+E40*4+F40</f>
        <v/>
      </c>
      <c r="H40" s="172" t="n"/>
      <c r="I40" s="172" t="n"/>
      <c r="J40" s="172" t="n"/>
      <c r="K40" s="172" t="n"/>
      <c r="L40" s="172" t="n"/>
      <c r="M40" s="172" t="n"/>
      <c r="N40" s="172" t="n"/>
      <c r="O40" s="172" t="n"/>
      <c r="P40" s="172" t="n"/>
      <c r="Q40" s="172" t="n"/>
      <c r="R40" s="172" t="n"/>
      <c r="S40" s="172" t="n"/>
      <c r="T40" s="172" t="n"/>
      <c r="U40" s="172" t="n"/>
    </row>
    <row r="41" ht="18" customHeight="1" s="163">
      <c r="A41" s="172" t="n"/>
      <c r="B41" s="194" t="inlineStr">
        <is>
          <t>Repairs &amp; Service</t>
        </is>
      </c>
      <c r="C41" s="249" t="n">
        <v>0</v>
      </c>
      <c r="D41" s="249" t="n">
        <v>0</v>
      </c>
      <c r="E41" s="249" t="n">
        <v>0</v>
      </c>
      <c r="F41" s="249" t="n">
        <v>0</v>
      </c>
      <c r="G41" s="243">
        <f>C41*52+D41*12+E41*4+F41</f>
        <v/>
      </c>
      <c r="H41" s="172" t="n"/>
      <c r="I41" s="172" t="n"/>
      <c r="J41" s="172" t="n"/>
      <c r="K41" s="172" t="n"/>
      <c r="L41" s="172" t="n"/>
      <c r="M41" s="172" t="n"/>
      <c r="N41" s="172" t="n"/>
      <c r="O41" s="172" t="n"/>
      <c r="P41" s="172" t="n"/>
      <c r="Q41" s="172" t="n"/>
      <c r="R41" s="172" t="n"/>
      <c r="S41" s="172" t="n"/>
      <c r="T41" s="172" t="n"/>
      <c r="U41" s="172" t="n"/>
    </row>
    <row r="42" ht="18" customHeight="1" s="163">
      <c r="A42" s="172" t="n"/>
      <c r="B42" s="191" t="inlineStr">
        <is>
          <t>RACV / NRMA</t>
        </is>
      </c>
      <c r="C42" s="249" t="n">
        <v>0</v>
      </c>
      <c r="D42" s="249" t="n">
        <v>0</v>
      </c>
      <c r="E42" s="249" t="n">
        <v>0</v>
      </c>
      <c r="F42" s="249" t="n">
        <v>0</v>
      </c>
      <c r="G42" s="243">
        <f>C42*52+D42*12+E42*4+F42</f>
        <v/>
      </c>
      <c r="H42" s="172" t="n"/>
      <c r="I42" s="172" t="n"/>
      <c r="J42" s="172" t="n"/>
      <c r="K42" s="172" t="n"/>
      <c r="L42" s="172" t="n"/>
      <c r="M42" s="172" t="n"/>
      <c r="N42" s="172" t="n"/>
      <c r="O42" s="172" t="n"/>
      <c r="P42" s="172" t="n"/>
      <c r="Q42" s="172" t="n"/>
      <c r="R42" s="172" t="n"/>
      <c r="S42" s="172" t="n"/>
      <c r="T42" s="172" t="n"/>
      <c r="U42" s="172" t="n"/>
    </row>
    <row r="43" ht="18" customHeight="1" s="163">
      <c r="A43" s="172" t="n"/>
      <c r="B43" s="247" t="inlineStr">
        <is>
          <t xml:space="preserve">  Total — VEHICLE 1</t>
        </is>
      </c>
      <c r="C43" s="248" t="n"/>
      <c r="D43" s="248" t="n"/>
      <c r="E43" s="248" t="n"/>
      <c r="F43" s="248" t="n"/>
      <c r="G43" s="248">
        <f>SUM(G37:G42)</f>
        <v/>
      </c>
      <c r="H43" s="172" t="n"/>
      <c r="I43" s="172" t="n"/>
      <c r="J43" s="172" t="n"/>
      <c r="K43" s="172" t="n"/>
      <c r="L43" s="172" t="n"/>
      <c r="M43" s="172" t="n"/>
      <c r="N43" s="172" t="n"/>
      <c r="O43" s="172" t="n"/>
      <c r="P43" s="172" t="n"/>
      <c r="Q43" s="172" t="n"/>
      <c r="R43" s="172" t="n"/>
      <c r="S43" s="172" t="n"/>
      <c r="T43" s="172" t="n"/>
      <c r="U43" s="172" t="n"/>
    </row>
    <row r="44" ht="21.75" customHeight="1" s="163">
      <c r="A44" s="172" t="n"/>
      <c r="B44" s="185" t="inlineStr">
        <is>
          <t>VEHICLE 2</t>
        </is>
      </c>
      <c r="C44" s="198" t="n"/>
      <c r="D44" s="198" t="n"/>
      <c r="E44" s="198" t="n"/>
      <c r="F44" s="198" t="n"/>
      <c r="G44" s="199" t="n"/>
      <c r="H44" s="172" t="n"/>
      <c r="I44" s="172" t="n"/>
      <c r="J44" s="172" t="n"/>
      <c r="K44" s="172" t="n"/>
      <c r="L44" s="172" t="n"/>
      <c r="M44" s="172" t="n"/>
      <c r="N44" s="172" t="n"/>
      <c r="O44" s="172" t="n"/>
      <c r="P44" s="172" t="n"/>
      <c r="Q44" s="172" t="n"/>
      <c r="R44" s="172" t="n"/>
      <c r="S44" s="172" t="n"/>
      <c r="T44" s="172" t="n"/>
      <c r="U44" s="172" t="n"/>
    </row>
    <row r="45" ht="18" customHeight="1" s="163">
      <c r="A45" s="172" t="n"/>
      <c r="B45" s="194" t="inlineStr">
        <is>
          <t>Insurance</t>
        </is>
      </c>
      <c r="C45" s="249" t="n">
        <v>0</v>
      </c>
      <c r="D45" s="249" t="n">
        <v>0</v>
      </c>
      <c r="E45" s="249" t="n">
        <v>0</v>
      </c>
      <c r="F45" s="249" t="n">
        <v>0</v>
      </c>
      <c r="G45" s="243">
        <f>C45*52+D45*12+E45*4+F45</f>
        <v/>
      </c>
      <c r="H45" s="172" t="n"/>
      <c r="I45" s="172" t="n"/>
      <c r="J45" s="172" t="n"/>
      <c r="K45" s="172" t="n"/>
      <c r="L45" s="172" t="n"/>
      <c r="M45" s="172" t="n"/>
      <c r="N45" s="172" t="n"/>
      <c r="O45" s="172" t="n"/>
      <c r="P45" s="172" t="n"/>
      <c r="Q45" s="172" t="n"/>
      <c r="R45" s="172" t="n"/>
      <c r="S45" s="172" t="n"/>
      <c r="T45" s="172" t="n"/>
      <c r="U45" s="172" t="n"/>
    </row>
    <row r="46" ht="18" customHeight="1" s="163">
      <c r="A46" s="172" t="n"/>
      <c r="B46" s="191" t="inlineStr">
        <is>
          <t>Registration</t>
        </is>
      </c>
      <c r="C46" s="249" t="n">
        <v>0</v>
      </c>
      <c r="D46" s="249" t="n">
        <v>0</v>
      </c>
      <c r="E46" s="249" t="n">
        <v>0</v>
      </c>
      <c r="F46" s="249" t="n">
        <v>0</v>
      </c>
      <c r="G46" s="243">
        <f>C46*52+D46*12+E46*4+F46</f>
        <v/>
      </c>
      <c r="H46" s="172" t="n"/>
      <c r="I46" s="172" t="n"/>
      <c r="J46" s="172" t="n"/>
      <c r="K46" s="172" t="n"/>
      <c r="L46" s="172" t="n"/>
      <c r="M46" s="172" t="n"/>
      <c r="N46" s="172" t="n"/>
      <c r="O46" s="172" t="n"/>
      <c r="P46" s="172" t="n"/>
      <c r="Q46" s="172" t="n"/>
      <c r="R46" s="172" t="n"/>
      <c r="S46" s="172" t="n"/>
      <c r="T46" s="172" t="n"/>
      <c r="U46" s="172" t="n"/>
    </row>
    <row r="47" ht="18" customHeight="1" s="163">
      <c r="A47" s="172" t="n"/>
      <c r="B47" s="194" t="inlineStr">
        <is>
          <t>Lease / Loan Payment</t>
        </is>
      </c>
      <c r="C47" s="249" t="n">
        <v>0</v>
      </c>
      <c r="D47" s="249" t="n">
        <v>0</v>
      </c>
      <c r="E47" s="249" t="n">
        <v>0</v>
      </c>
      <c r="F47" s="249" t="n">
        <v>0</v>
      </c>
      <c r="G47" s="243">
        <f>C47*52+D47*12+E47*4+F47</f>
        <v/>
      </c>
      <c r="H47" s="172" t="n"/>
      <c r="I47" s="172" t="n"/>
      <c r="J47" s="172" t="n"/>
      <c r="K47" s="172" t="n"/>
      <c r="L47" s="172" t="n"/>
      <c r="M47" s="172" t="n"/>
      <c r="N47" s="172" t="n"/>
      <c r="O47" s="172" t="n"/>
      <c r="P47" s="172" t="n"/>
      <c r="Q47" s="172" t="n"/>
      <c r="R47" s="172" t="n"/>
      <c r="S47" s="172" t="n"/>
      <c r="T47" s="172" t="n"/>
      <c r="U47" s="172" t="n"/>
    </row>
    <row r="48" ht="18" customHeight="1" s="163">
      <c r="A48" s="172" t="n"/>
      <c r="B48" s="191" t="inlineStr">
        <is>
          <t>Fuel</t>
        </is>
      </c>
      <c r="C48" s="249" t="n">
        <v>0</v>
      </c>
      <c r="D48" s="249" t="n">
        <v>0</v>
      </c>
      <c r="E48" s="249" t="n">
        <v>0</v>
      </c>
      <c r="F48" s="249" t="n">
        <v>0</v>
      </c>
      <c r="G48" s="243">
        <f>C48*52+D48*12+E48*4+F48</f>
        <v/>
      </c>
      <c r="H48" s="172" t="n"/>
      <c r="I48" s="172" t="n"/>
      <c r="J48" s="172" t="n"/>
      <c r="K48" s="172" t="n"/>
      <c r="L48" s="172" t="n"/>
      <c r="M48" s="172" t="n"/>
      <c r="N48" s="172" t="n"/>
      <c r="O48" s="172" t="n"/>
      <c r="P48" s="172" t="n"/>
      <c r="Q48" s="172" t="n"/>
      <c r="R48" s="172" t="n"/>
      <c r="S48" s="172" t="n"/>
      <c r="T48" s="172" t="n"/>
      <c r="U48" s="172" t="n"/>
    </row>
    <row r="49" ht="18" customHeight="1" s="163">
      <c r="A49" s="172" t="n"/>
      <c r="B49" s="194" t="inlineStr">
        <is>
          <t>Repairs &amp; Service</t>
        </is>
      </c>
      <c r="C49" s="249" t="n">
        <v>0</v>
      </c>
      <c r="D49" s="249" t="n">
        <v>0</v>
      </c>
      <c r="E49" s="249" t="n">
        <v>0</v>
      </c>
      <c r="F49" s="249" t="n">
        <v>0</v>
      </c>
      <c r="G49" s="243">
        <f>C49*52+D49*12+E49*4+F49</f>
        <v/>
      </c>
      <c r="H49" s="172" t="n"/>
      <c r="I49" s="172" t="n"/>
      <c r="J49" s="172" t="n"/>
      <c r="K49" s="172" t="n"/>
      <c r="L49" s="172" t="n"/>
      <c r="M49" s="172" t="n"/>
      <c r="N49" s="172" t="n"/>
      <c r="O49" s="172" t="n"/>
      <c r="P49" s="172" t="n"/>
      <c r="Q49" s="172" t="n"/>
      <c r="R49" s="172" t="n"/>
      <c r="S49" s="172" t="n"/>
      <c r="T49" s="172" t="n"/>
      <c r="U49" s="172" t="n"/>
    </row>
    <row r="50" ht="18" customHeight="1" s="163">
      <c r="A50" s="172" t="n"/>
      <c r="B50" s="191" t="inlineStr">
        <is>
          <t>RACV / NRMA</t>
        </is>
      </c>
      <c r="C50" s="249" t="n">
        <v>0</v>
      </c>
      <c r="D50" s="249" t="n">
        <v>0</v>
      </c>
      <c r="E50" s="249" t="n">
        <v>0</v>
      </c>
      <c r="F50" s="249" t="n">
        <v>0</v>
      </c>
      <c r="G50" s="243">
        <f>C50*52+D50*12+E50*4+F50</f>
        <v/>
      </c>
      <c r="H50" s="172" t="n"/>
      <c r="I50" s="172" t="n"/>
      <c r="J50" s="172" t="n"/>
      <c r="K50" s="172" t="n"/>
      <c r="L50" s="172" t="n"/>
      <c r="M50" s="172" t="n"/>
      <c r="N50" s="172" t="n"/>
      <c r="O50" s="172" t="n"/>
      <c r="P50" s="172" t="n"/>
      <c r="Q50" s="172" t="n"/>
      <c r="R50" s="172" t="n"/>
      <c r="S50" s="172" t="n"/>
      <c r="T50" s="172" t="n"/>
      <c r="U50" s="172" t="n"/>
    </row>
    <row r="51" ht="18" customHeight="1" s="163">
      <c r="A51" s="172" t="n"/>
      <c r="B51" s="247" t="inlineStr">
        <is>
          <t xml:space="preserve">  Total — VEHICLE 2</t>
        </is>
      </c>
      <c r="C51" s="248" t="n"/>
      <c r="D51" s="248" t="n"/>
      <c r="E51" s="248" t="n"/>
      <c r="F51" s="248" t="n"/>
      <c r="G51" s="248">
        <f>SUM(G45:G50)</f>
        <v/>
      </c>
      <c r="H51" s="172" t="n"/>
      <c r="I51" s="172" t="n"/>
      <c r="J51" s="172" t="n"/>
      <c r="K51" s="172" t="n"/>
      <c r="L51" s="172" t="n"/>
      <c r="M51" s="172" t="n"/>
      <c r="N51" s="172" t="n"/>
      <c r="O51" s="172" t="n"/>
      <c r="P51" s="172" t="n"/>
      <c r="Q51" s="172" t="n"/>
      <c r="R51" s="172" t="n"/>
      <c r="S51" s="172" t="n"/>
      <c r="T51" s="172" t="n"/>
      <c r="U51" s="172" t="n"/>
    </row>
    <row r="52" ht="21.75" customHeight="1" s="163">
      <c r="A52" s="172" t="n"/>
      <c r="B52" s="185" t="inlineStr">
        <is>
          <t>PUBLIC TRANSPORT &amp; CABS</t>
        </is>
      </c>
      <c r="C52" s="198" t="n"/>
      <c r="D52" s="198" t="n"/>
      <c r="E52" s="198" t="n"/>
      <c r="F52" s="198" t="n"/>
      <c r="G52" s="199" t="n"/>
      <c r="H52" s="172" t="n"/>
      <c r="I52" s="172" t="n"/>
      <c r="J52" s="172" t="n"/>
      <c r="K52" s="172" t="n"/>
      <c r="L52" s="172" t="n"/>
      <c r="M52" s="172" t="n"/>
      <c r="N52" s="172" t="n"/>
      <c r="O52" s="172" t="n"/>
      <c r="P52" s="172" t="n"/>
      <c r="Q52" s="172" t="n"/>
      <c r="R52" s="172" t="n"/>
      <c r="S52" s="172" t="n"/>
      <c r="T52" s="172" t="n"/>
      <c r="U52" s="172" t="n"/>
    </row>
    <row r="53" ht="18" customHeight="1" s="163">
      <c r="A53" s="172" t="n"/>
      <c r="B53" s="194" t="inlineStr">
        <is>
          <t>Myki / Opal / PT</t>
        </is>
      </c>
      <c r="C53" s="249" t="n">
        <v>0</v>
      </c>
      <c r="D53" s="249" t="n">
        <v>0</v>
      </c>
      <c r="E53" s="249" t="n">
        <v>0</v>
      </c>
      <c r="F53" s="249" t="n">
        <v>0</v>
      </c>
      <c r="G53" s="243">
        <f>C53*52+D53*12+E53*4+F53</f>
        <v/>
      </c>
      <c r="H53" s="172" t="n"/>
      <c r="I53" s="172" t="n"/>
      <c r="J53" s="172" t="n"/>
      <c r="K53" s="172" t="n"/>
      <c r="L53" s="172" t="n"/>
      <c r="M53" s="172" t="n"/>
      <c r="N53" s="172" t="n"/>
      <c r="O53" s="172" t="n"/>
      <c r="P53" s="172" t="n"/>
      <c r="Q53" s="172" t="n"/>
      <c r="R53" s="172" t="n"/>
      <c r="S53" s="172" t="n"/>
      <c r="T53" s="172" t="n"/>
      <c r="U53" s="172" t="n"/>
    </row>
    <row r="54" ht="18" customHeight="1" s="163">
      <c r="A54" s="172" t="n"/>
      <c r="B54" s="191" t="inlineStr">
        <is>
          <t>Taxi / Uber</t>
        </is>
      </c>
      <c r="C54" s="249" t="n">
        <v>0</v>
      </c>
      <c r="D54" s="249" t="n">
        <v>0</v>
      </c>
      <c r="E54" s="249" t="n">
        <v>0</v>
      </c>
      <c r="F54" s="249" t="n">
        <v>0</v>
      </c>
      <c r="G54" s="243">
        <f>C54*52+D54*12+E54*4+F54</f>
        <v/>
      </c>
      <c r="H54" s="172" t="n"/>
      <c r="I54" s="172" t="n"/>
      <c r="J54" s="172" t="n"/>
      <c r="K54" s="172" t="n"/>
      <c r="L54" s="172" t="n"/>
      <c r="M54" s="172" t="n"/>
      <c r="N54" s="172" t="n"/>
      <c r="O54" s="172" t="n"/>
      <c r="P54" s="172" t="n"/>
      <c r="Q54" s="172" t="n"/>
      <c r="R54" s="172" t="n"/>
      <c r="S54" s="172" t="n"/>
      <c r="T54" s="172" t="n"/>
      <c r="U54" s="172" t="n"/>
    </row>
    <row r="55" ht="18" customHeight="1" s="163">
      <c r="A55" s="172" t="n"/>
      <c r="B55" s="194" t="inlineStr">
        <is>
          <t>Parking</t>
        </is>
      </c>
      <c r="C55" s="249" t="n">
        <v>0</v>
      </c>
      <c r="D55" s="249" t="n">
        <v>0</v>
      </c>
      <c r="E55" s="249" t="n">
        <v>0</v>
      </c>
      <c r="F55" s="249" t="n">
        <v>0</v>
      </c>
      <c r="G55" s="243">
        <f>C55*52+D55*12+E55*4+F55</f>
        <v/>
      </c>
      <c r="H55" s="172" t="n"/>
      <c r="I55" s="172" t="n"/>
      <c r="J55" s="172" t="n"/>
      <c r="K55" s="172" t="n"/>
      <c r="L55" s="172" t="n"/>
      <c r="M55" s="172" t="n"/>
      <c r="N55" s="172" t="n"/>
      <c r="O55" s="172" t="n"/>
      <c r="P55" s="172" t="n"/>
      <c r="Q55" s="172" t="n"/>
      <c r="R55" s="172" t="n"/>
      <c r="S55" s="172" t="n"/>
      <c r="T55" s="172" t="n"/>
      <c r="U55" s="172" t="n"/>
    </row>
    <row r="56" ht="18" customHeight="1" s="163">
      <c r="A56" s="172" t="n"/>
      <c r="B56" s="259" t="inlineStr">
        <is>
          <t xml:space="preserve">  Total — PUBLIC TRANSPORT &amp; CABS</t>
        </is>
      </c>
      <c r="C56" s="248" t="n"/>
      <c r="D56" s="248" t="n"/>
      <c r="E56" s="248" t="n"/>
      <c r="F56" s="248" t="n"/>
      <c r="G56" s="248">
        <f>SUM(G53:G55)</f>
        <v/>
      </c>
      <c r="H56" s="172" t="n"/>
      <c r="I56" s="172" t="n"/>
      <c r="J56" s="172" t="n"/>
      <c r="K56" s="172" t="n"/>
      <c r="L56" s="172" t="n"/>
      <c r="M56" s="172" t="n"/>
      <c r="N56" s="172" t="n"/>
      <c r="O56" s="172" t="n"/>
      <c r="P56" s="172" t="n"/>
      <c r="Q56" s="172" t="n"/>
      <c r="R56" s="172" t="n"/>
      <c r="S56" s="172" t="n"/>
      <c r="T56" s="172" t="n"/>
      <c r="U56" s="172" t="n"/>
    </row>
    <row r="57" ht="21.75" customHeight="1" s="163">
      <c r="A57" s="172" t="n"/>
      <c r="B57" s="185" t="inlineStr">
        <is>
          <t>HEALTH &amp; MEDICAL</t>
        </is>
      </c>
      <c r="C57" s="198" t="n"/>
      <c r="D57" s="198" t="n"/>
      <c r="E57" s="198" t="n"/>
      <c r="F57" s="198" t="n"/>
      <c r="G57" s="199" t="n"/>
      <c r="H57" s="172" t="n"/>
      <c r="I57" s="172" t="n"/>
      <c r="J57" s="172" t="n"/>
      <c r="K57" s="172" t="n"/>
      <c r="L57" s="172" t="n"/>
      <c r="M57" s="172" t="n"/>
      <c r="N57" s="172" t="n"/>
      <c r="O57" s="172" t="n"/>
      <c r="P57" s="172" t="n"/>
      <c r="Q57" s="172" t="n"/>
      <c r="R57" s="172" t="n"/>
      <c r="S57" s="172" t="n"/>
      <c r="T57" s="172" t="n"/>
      <c r="U57" s="172" t="n"/>
    </row>
    <row r="58" ht="18" customHeight="1" s="163">
      <c r="A58" s="172" t="n"/>
      <c r="B58" s="200" t="inlineStr">
        <is>
          <t>Private Health Insurance</t>
        </is>
      </c>
      <c r="C58" s="249" t="n">
        <v>0</v>
      </c>
      <c r="D58" s="249" t="n">
        <v>0</v>
      </c>
      <c r="E58" s="249" t="n">
        <v>0</v>
      </c>
      <c r="F58" s="249" t="n">
        <v>0</v>
      </c>
      <c r="G58" s="243">
        <f>C58*52+D58*12+E58*4+F58</f>
        <v/>
      </c>
      <c r="H58" s="172" t="n"/>
      <c r="I58" s="172" t="n"/>
      <c r="J58" s="172" t="n"/>
      <c r="K58" s="172" t="n"/>
      <c r="L58" s="172" t="n"/>
      <c r="M58" s="172" t="n"/>
      <c r="N58" s="172" t="n"/>
      <c r="O58" s="172" t="n"/>
      <c r="P58" s="172" t="n"/>
      <c r="Q58" s="172" t="n"/>
      <c r="R58" s="172" t="n"/>
      <c r="S58" s="172" t="n"/>
      <c r="T58" s="172" t="n"/>
      <c r="U58" s="172" t="n"/>
    </row>
    <row r="59" ht="18" customHeight="1" s="163">
      <c r="A59" s="172" t="n"/>
      <c r="B59" s="245" t="inlineStr">
        <is>
          <t>GP / Specialist Visits</t>
        </is>
      </c>
      <c r="C59" s="249" t="n">
        <v>0</v>
      </c>
      <c r="D59" s="249" t="n">
        <v>0</v>
      </c>
      <c r="E59" s="249" t="n">
        <v>0</v>
      </c>
      <c r="F59" s="249" t="n">
        <v>0</v>
      </c>
      <c r="G59" s="243">
        <f>C59*52+D59*12+E59*4+F59</f>
        <v/>
      </c>
      <c r="H59" s="172" t="n"/>
      <c r="I59" s="172" t="n"/>
      <c r="J59" s="172" t="n"/>
      <c r="K59" s="172" t="n"/>
      <c r="L59" s="172" t="n"/>
      <c r="M59" s="172" t="n"/>
      <c r="N59" s="172" t="n"/>
      <c r="O59" s="172" t="n"/>
      <c r="P59" s="172" t="n"/>
      <c r="Q59" s="172" t="n"/>
      <c r="R59" s="172" t="n"/>
      <c r="S59" s="172" t="n"/>
      <c r="T59" s="172" t="n"/>
      <c r="U59" s="172" t="n"/>
    </row>
    <row r="60" ht="18" customHeight="1" s="163">
      <c r="A60" s="172" t="n"/>
      <c r="B60" s="191" t="inlineStr">
        <is>
          <t>Pharmacy</t>
        </is>
      </c>
      <c r="C60" s="249" t="n">
        <v>0</v>
      </c>
      <c r="D60" s="249" t="n">
        <v>0</v>
      </c>
      <c r="E60" s="249" t="n">
        <v>0</v>
      </c>
      <c r="F60" s="249" t="n">
        <v>0</v>
      </c>
      <c r="G60" s="243">
        <f>C60*52+D60*12+E60*4+F60</f>
        <v/>
      </c>
      <c r="H60" s="172" t="n"/>
      <c r="I60" s="172" t="n"/>
      <c r="J60" s="172" t="n"/>
      <c r="K60" s="172" t="n"/>
      <c r="L60" s="172" t="n"/>
      <c r="M60" s="172" t="n"/>
      <c r="N60" s="172" t="n"/>
      <c r="O60" s="172" t="n"/>
      <c r="P60" s="172" t="n"/>
      <c r="Q60" s="172" t="n"/>
      <c r="R60" s="172" t="n"/>
      <c r="S60" s="172" t="n"/>
      <c r="T60" s="172" t="n"/>
      <c r="U60" s="172" t="n"/>
    </row>
    <row r="61" ht="18" customHeight="1" s="163">
      <c r="A61" s="172" t="n"/>
      <c r="B61" s="194" t="inlineStr">
        <is>
          <t>Dental</t>
        </is>
      </c>
      <c r="C61" s="249" t="n">
        <v>0</v>
      </c>
      <c r="D61" s="249" t="n">
        <v>0</v>
      </c>
      <c r="E61" s="249" t="n">
        <v>0</v>
      </c>
      <c r="F61" s="249" t="n">
        <v>0</v>
      </c>
      <c r="G61" s="243">
        <f>C61*52+D61*12+E61*4+F61</f>
        <v/>
      </c>
      <c r="H61" s="172" t="n"/>
      <c r="I61" s="172" t="n"/>
      <c r="J61" s="172" t="n"/>
      <c r="K61" s="172" t="n"/>
      <c r="L61" s="172" t="n"/>
      <c r="M61" s="172" t="n"/>
      <c r="N61" s="172" t="n"/>
      <c r="O61" s="172" t="n"/>
      <c r="P61" s="172" t="n"/>
      <c r="Q61" s="172" t="n"/>
      <c r="R61" s="172" t="n"/>
      <c r="S61" s="172" t="n"/>
      <c r="T61" s="172" t="n"/>
      <c r="U61" s="172" t="n"/>
    </row>
    <row r="62" ht="18" customHeight="1" s="163">
      <c r="A62" s="172" t="n"/>
      <c r="B62" s="191" t="inlineStr">
        <is>
          <t>Orthodontics</t>
        </is>
      </c>
      <c r="C62" s="249" t="n">
        <v>0</v>
      </c>
      <c r="D62" s="249" t="n">
        <v>0</v>
      </c>
      <c r="E62" s="249" t="n">
        <v>0</v>
      </c>
      <c r="F62" s="249" t="n">
        <v>0</v>
      </c>
      <c r="G62" s="243">
        <f>C62*52+D62*12+E62*4+F62</f>
        <v/>
      </c>
      <c r="H62" s="172" t="n"/>
      <c r="I62" s="172" t="n"/>
      <c r="J62" s="172" t="n"/>
      <c r="K62" s="172" t="n"/>
      <c r="L62" s="172" t="n"/>
      <c r="M62" s="172" t="n"/>
      <c r="N62" s="172" t="n"/>
      <c r="O62" s="172" t="n"/>
      <c r="P62" s="172" t="n"/>
      <c r="Q62" s="172" t="n"/>
      <c r="R62" s="172" t="n"/>
      <c r="S62" s="172" t="n"/>
      <c r="T62" s="172" t="n"/>
      <c r="U62" s="172" t="n"/>
    </row>
    <row r="63" ht="18" customHeight="1" s="163">
      <c r="A63" s="172" t="n"/>
      <c r="B63" s="245" t="inlineStr">
        <is>
          <t>Physio / Allied Health</t>
        </is>
      </c>
      <c r="C63" s="249" t="n">
        <v>0</v>
      </c>
      <c r="D63" s="249" t="n">
        <v>0</v>
      </c>
      <c r="E63" s="249" t="n">
        <v>0</v>
      </c>
      <c r="F63" s="249" t="n">
        <v>0</v>
      </c>
      <c r="G63" s="243">
        <f>C63*52+D63*12+E63*4+F63</f>
        <v/>
      </c>
      <c r="H63" s="172" t="n"/>
      <c r="I63" s="172" t="n"/>
      <c r="J63" s="172" t="n"/>
      <c r="K63" s="172" t="n"/>
      <c r="L63" s="172" t="n"/>
      <c r="M63" s="172" t="n"/>
      <c r="N63" s="172" t="n"/>
      <c r="O63" s="172" t="n"/>
      <c r="P63" s="172" t="n"/>
      <c r="Q63" s="172" t="n"/>
      <c r="R63" s="172" t="n"/>
      <c r="S63" s="172" t="n"/>
      <c r="T63" s="172" t="n"/>
      <c r="U63" s="172" t="n"/>
    </row>
    <row r="64" ht="18" customHeight="1" s="163">
      <c r="A64" s="172" t="n"/>
      <c r="B64" s="200" t="inlineStr">
        <is>
          <t>Mental Health / Psychology</t>
        </is>
      </c>
      <c r="C64" s="249" t="n">
        <v>0</v>
      </c>
      <c r="D64" s="249" t="n">
        <v>0</v>
      </c>
      <c r="E64" s="249" t="n">
        <v>0</v>
      </c>
      <c r="F64" s="249" t="n">
        <v>0</v>
      </c>
      <c r="G64" s="243">
        <f>C64*52+D64*12+E64*4+F64</f>
        <v/>
      </c>
      <c r="H64" s="172" t="n"/>
      <c r="I64" s="172" t="n"/>
      <c r="J64" s="172" t="n"/>
      <c r="K64" s="172" t="n"/>
      <c r="L64" s="172" t="n"/>
      <c r="M64" s="172" t="n"/>
      <c r="N64" s="172" t="n"/>
      <c r="O64" s="172" t="n"/>
      <c r="P64" s="172" t="n"/>
      <c r="Q64" s="172" t="n"/>
      <c r="R64" s="172" t="n"/>
      <c r="S64" s="172" t="n"/>
      <c r="T64" s="172" t="n"/>
      <c r="U64" s="172" t="n"/>
    </row>
    <row r="65" ht="18" customHeight="1" s="163">
      <c r="A65" s="172" t="n"/>
      <c r="B65" s="259" t="inlineStr">
        <is>
          <t xml:space="preserve">  Total — HEALTH &amp; MEDICAL</t>
        </is>
      </c>
      <c r="C65" s="248" t="n"/>
      <c r="D65" s="248" t="n"/>
      <c r="E65" s="248" t="n"/>
      <c r="F65" s="248" t="n"/>
      <c r="G65" s="248">
        <f>SUM(G58:G64)</f>
        <v/>
      </c>
      <c r="H65" s="172" t="n"/>
      <c r="I65" s="172" t="n"/>
      <c r="J65" s="172" t="n"/>
      <c r="K65" s="172" t="n"/>
      <c r="L65" s="172" t="n"/>
      <c r="M65" s="172" t="n"/>
      <c r="N65" s="172" t="n"/>
      <c r="O65" s="172" t="n"/>
      <c r="P65" s="172" t="n"/>
      <c r="Q65" s="172" t="n"/>
      <c r="R65" s="172" t="n"/>
      <c r="S65" s="172" t="n"/>
      <c r="T65" s="172" t="n"/>
      <c r="U65" s="172" t="n"/>
    </row>
    <row r="66" ht="21.75" customHeight="1" s="163">
      <c r="A66" s="172" t="n"/>
      <c r="B66" s="185" t="inlineStr">
        <is>
          <t>CLOTHING &amp; GROOMING</t>
        </is>
      </c>
      <c r="C66" s="198" t="n"/>
      <c r="D66" s="198" t="n"/>
      <c r="E66" s="198" t="n"/>
      <c r="F66" s="198" t="n"/>
      <c r="G66" s="199" t="n"/>
      <c r="H66" s="172" t="n"/>
      <c r="I66" s="172" t="n"/>
      <c r="J66" s="172" t="n"/>
      <c r="K66" s="172" t="n"/>
      <c r="L66" s="172" t="n"/>
      <c r="M66" s="172" t="n"/>
      <c r="N66" s="172" t="n"/>
      <c r="O66" s="172" t="n"/>
      <c r="P66" s="172" t="n"/>
      <c r="Q66" s="172" t="n"/>
      <c r="R66" s="172" t="n"/>
      <c r="S66" s="172" t="n"/>
      <c r="T66" s="172" t="n"/>
      <c r="U66" s="172" t="n"/>
    </row>
    <row r="67" ht="18" customHeight="1" s="163">
      <c r="A67" s="172" t="n"/>
      <c r="B67" s="194" t="inlineStr">
        <is>
          <t>Person 1 — Clothing</t>
        </is>
      </c>
      <c r="C67" s="249" t="n">
        <v>0</v>
      </c>
      <c r="D67" s="249" t="n">
        <v>0</v>
      </c>
      <c r="E67" s="249" t="n">
        <v>0</v>
      </c>
      <c r="F67" s="249" t="n">
        <v>0</v>
      </c>
      <c r="G67" s="243">
        <f>C67*52+D67*12+E67*4+F67</f>
        <v/>
      </c>
      <c r="H67" s="172" t="n"/>
      <c r="I67" s="172" t="n"/>
      <c r="J67" s="172" t="n"/>
      <c r="K67" s="172" t="n"/>
      <c r="L67" s="172" t="n"/>
      <c r="M67" s="172" t="n"/>
      <c r="N67" s="172" t="n"/>
      <c r="O67" s="172" t="n"/>
      <c r="P67" s="172" t="n"/>
      <c r="Q67" s="172" t="n"/>
      <c r="R67" s="172" t="n"/>
      <c r="S67" s="172" t="n"/>
      <c r="T67" s="172" t="n"/>
      <c r="U67" s="172" t="n"/>
    </row>
    <row r="68" ht="18" customHeight="1" s="163">
      <c r="A68" s="172" t="n"/>
      <c r="B68" s="191" t="inlineStr">
        <is>
          <t>Person 2 — Clothing</t>
        </is>
      </c>
      <c r="C68" s="249" t="n">
        <v>0</v>
      </c>
      <c r="D68" s="249" t="n">
        <v>0</v>
      </c>
      <c r="E68" s="249" t="n">
        <v>0</v>
      </c>
      <c r="F68" s="249" t="n">
        <v>0</v>
      </c>
      <c r="G68" s="243">
        <f>C68*52+D68*12+E68*4+F68</f>
        <v/>
      </c>
      <c r="H68" s="172" t="n"/>
      <c r="I68" s="172" t="n"/>
      <c r="J68" s="172" t="n"/>
      <c r="K68" s="172" t="n"/>
      <c r="L68" s="172" t="n"/>
      <c r="M68" s="172" t="n"/>
      <c r="N68" s="172" t="n"/>
      <c r="O68" s="172" t="n"/>
      <c r="P68" s="172" t="n"/>
      <c r="Q68" s="172" t="n"/>
      <c r="R68" s="172" t="n"/>
      <c r="S68" s="172" t="n"/>
      <c r="T68" s="172" t="n"/>
      <c r="U68" s="172" t="n"/>
    </row>
    <row r="69" ht="18" customHeight="1" s="163">
      <c r="A69" s="172" t="n"/>
      <c r="B69" s="245" t="inlineStr">
        <is>
          <t>Dependents — Clothing</t>
        </is>
      </c>
      <c r="C69" s="249" t="n">
        <v>0</v>
      </c>
      <c r="D69" s="249" t="n">
        <v>0</v>
      </c>
      <c r="E69" s="249" t="n">
        <v>0</v>
      </c>
      <c r="F69" s="249" t="n">
        <v>0</v>
      </c>
      <c r="G69" s="243">
        <f>C69*52+D69*12+E69*4+F69</f>
        <v/>
      </c>
      <c r="H69" s="172" t="n"/>
      <c r="I69" s="172" t="n"/>
      <c r="J69" s="172" t="n"/>
      <c r="K69" s="172" t="n"/>
      <c r="L69" s="172" t="n"/>
      <c r="M69" s="172" t="n"/>
      <c r="N69" s="172" t="n"/>
      <c r="O69" s="172" t="n"/>
      <c r="P69" s="172" t="n"/>
      <c r="Q69" s="172" t="n"/>
      <c r="R69" s="172" t="n"/>
      <c r="S69" s="172" t="n"/>
      <c r="T69" s="172" t="n"/>
      <c r="U69" s="172" t="n"/>
    </row>
    <row r="70" ht="18" customHeight="1" s="163">
      <c r="A70" s="172" t="n"/>
      <c r="B70" s="191" t="inlineStr">
        <is>
          <t>Haircuts — Adults</t>
        </is>
      </c>
      <c r="C70" s="249" t="n">
        <v>0</v>
      </c>
      <c r="D70" s="249" t="n">
        <v>0</v>
      </c>
      <c r="E70" s="249" t="n">
        <v>0</v>
      </c>
      <c r="F70" s="249" t="n">
        <v>0</v>
      </c>
      <c r="G70" s="243">
        <f>C70*52+D70*12+E70*4+F70</f>
        <v/>
      </c>
      <c r="H70" s="172" t="n"/>
      <c r="I70" s="172" t="n"/>
      <c r="J70" s="172" t="n"/>
      <c r="K70" s="172" t="n"/>
      <c r="L70" s="172" t="n"/>
      <c r="M70" s="172" t="n"/>
      <c r="N70" s="172" t="n"/>
      <c r="O70" s="172" t="n"/>
      <c r="P70" s="172" t="n"/>
      <c r="Q70" s="172" t="n"/>
      <c r="R70" s="172" t="n"/>
      <c r="S70" s="172" t="n"/>
      <c r="T70" s="172" t="n"/>
      <c r="U70" s="172" t="n"/>
    </row>
    <row r="71" ht="18" customHeight="1" s="163">
      <c r="A71" s="172" t="n"/>
      <c r="B71" s="194" t="inlineStr">
        <is>
          <t>Haircuts — Kids</t>
        </is>
      </c>
      <c r="C71" s="249" t="n">
        <v>0</v>
      </c>
      <c r="D71" s="249" t="n">
        <v>0</v>
      </c>
      <c r="E71" s="249" t="n">
        <v>0</v>
      </c>
      <c r="F71" s="249" t="n">
        <v>0</v>
      </c>
      <c r="G71" s="243">
        <f>C71*52+D71*12+E71*4+F71</f>
        <v/>
      </c>
      <c r="H71" s="172" t="n"/>
      <c r="I71" s="172" t="n"/>
      <c r="J71" s="172" t="n"/>
      <c r="K71" s="172" t="n"/>
      <c r="L71" s="172" t="n"/>
      <c r="M71" s="172" t="n"/>
      <c r="N71" s="172" t="n"/>
      <c r="O71" s="172" t="n"/>
      <c r="P71" s="172" t="n"/>
      <c r="Q71" s="172" t="n"/>
      <c r="R71" s="172" t="n"/>
      <c r="S71" s="172" t="n"/>
      <c r="T71" s="172" t="n"/>
      <c r="U71" s="172" t="n"/>
    </row>
    <row r="72" ht="18" customHeight="1" s="163">
      <c r="A72" s="172" t="n"/>
      <c r="B72" s="191" t="inlineStr">
        <is>
          <t>Grooming / Beauty</t>
        </is>
      </c>
      <c r="C72" s="249" t="n">
        <v>0</v>
      </c>
      <c r="D72" s="249" t="n">
        <v>0</v>
      </c>
      <c r="E72" s="249" t="n">
        <v>0</v>
      </c>
      <c r="F72" s="249" t="n">
        <v>0</v>
      </c>
      <c r="G72" s="243">
        <f>C72*52+D72*12+E72*4+F72</f>
        <v/>
      </c>
      <c r="H72" s="172" t="n"/>
      <c r="I72" s="172" t="n"/>
      <c r="J72" s="172" t="n"/>
      <c r="K72" s="172" t="n"/>
      <c r="L72" s="172" t="n"/>
      <c r="M72" s="172" t="n"/>
      <c r="N72" s="172" t="n"/>
      <c r="O72" s="172" t="n"/>
      <c r="P72" s="172" t="n"/>
      <c r="Q72" s="172" t="n"/>
      <c r="R72" s="172" t="n"/>
      <c r="S72" s="172" t="n"/>
      <c r="T72" s="172" t="n"/>
      <c r="U72" s="172" t="n"/>
    </row>
    <row r="73" ht="18" customHeight="1" s="163">
      <c r="A73" s="172" t="n"/>
      <c r="B73" s="259" t="inlineStr">
        <is>
          <t xml:space="preserve">  Total — CLOTHING &amp; GROOMING</t>
        </is>
      </c>
      <c r="C73" s="248" t="n"/>
      <c r="D73" s="248" t="n"/>
      <c r="E73" s="248" t="n"/>
      <c r="F73" s="248" t="n"/>
      <c r="G73" s="248">
        <f>SUM(G67:G72)</f>
        <v/>
      </c>
      <c r="H73" s="172" t="n"/>
      <c r="I73" s="172" t="n"/>
      <c r="J73" s="172" t="n"/>
      <c r="K73" s="172" t="n"/>
      <c r="L73" s="172" t="n"/>
      <c r="M73" s="172" t="n"/>
      <c r="N73" s="172" t="n"/>
      <c r="O73" s="172" t="n"/>
      <c r="P73" s="172" t="n"/>
      <c r="Q73" s="172" t="n"/>
      <c r="R73" s="172" t="n"/>
      <c r="S73" s="172" t="n"/>
      <c r="T73" s="172" t="n"/>
      <c r="U73" s="172" t="n"/>
    </row>
    <row r="74" ht="21.75" customHeight="1" s="163">
      <c r="A74" s="172" t="n"/>
      <c r="B74" s="185" t="inlineStr">
        <is>
          <t>EDUCATION &amp; CHILDREN</t>
        </is>
      </c>
      <c r="C74" s="198" t="n"/>
      <c r="D74" s="198" t="n"/>
      <c r="E74" s="198" t="n"/>
      <c r="F74" s="198" t="n"/>
      <c r="G74" s="199" t="n"/>
      <c r="H74" s="172" t="n"/>
      <c r="I74" s="172" t="n"/>
      <c r="J74" s="172" t="n"/>
      <c r="K74" s="172" t="n"/>
      <c r="L74" s="172" t="n"/>
      <c r="M74" s="172" t="n"/>
      <c r="N74" s="172" t="n"/>
      <c r="O74" s="172" t="n"/>
      <c r="P74" s="172" t="n"/>
      <c r="Q74" s="172" t="n"/>
      <c r="R74" s="172" t="n"/>
      <c r="S74" s="172" t="n"/>
      <c r="T74" s="172" t="n"/>
      <c r="U74" s="172" t="n"/>
    </row>
    <row r="75" ht="18" customHeight="1" s="163">
      <c r="A75" s="172" t="n"/>
      <c r="B75" s="194" t="inlineStr">
        <is>
          <t>School Fees</t>
        </is>
      </c>
      <c r="C75" s="249" t="n">
        <v>0</v>
      </c>
      <c r="D75" s="249" t="n">
        <v>0</v>
      </c>
      <c r="E75" s="249" t="n">
        <v>0</v>
      </c>
      <c r="F75" s="249" t="n">
        <v>0</v>
      </c>
      <c r="G75" s="243">
        <f>C75*52+D75*12+E75*4+F75</f>
        <v/>
      </c>
      <c r="H75" s="172" t="n"/>
      <c r="I75" s="172" t="n"/>
      <c r="J75" s="172" t="n"/>
      <c r="K75" s="172" t="n"/>
      <c r="L75" s="172" t="n"/>
      <c r="M75" s="172" t="n"/>
      <c r="N75" s="172" t="n"/>
      <c r="O75" s="172" t="n"/>
      <c r="P75" s="172" t="n"/>
      <c r="Q75" s="172" t="n"/>
      <c r="R75" s="172" t="n"/>
      <c r="S75" s="172" t="n"/>
      <c r="T75" s="172" t="n"/>
      <c r="U75" s="172" t="n"/>
    </row>
    <row r="76" ht="18" customHeight="1" s="163">
      <c r="A76" s="172" t="n"/>
      <c r="B76" s="191" t="inlineStr">
        <is>
          <t>Uniforms &amp; Books</t>
        </is>
      </c>
      <c r="C76" s="249" t="n">
        <v>0</v>
      </c>
      <c r="D76" s="249" t="n">
        <v>0</v>
      </c>
      <c r="E76" s="249" t="n">
        <v>0</v>
      </c>
      <c r="F76" s="249" t="n">
        <v>0</v>
      </c>
      <c r="G76" s="243">
        <f>C76*52+D76*12+E76*4+F76</f>
        <v/>
      </c>
      <c r="H76" s="172" t="n"/>
      <c r="I76" s="172" t="n"/>
      <c r="J76" s="172" t="n"/>
      <c r="K76" s="172" t="n"/>
      <c r="L76" s="172" t="n"/>
      <c r="M76" s="172" t="n"/>
      <c r="N76" s="172" t="n"/>
      <c r="O76" s="172" t="n"/>
      <c r="P76" s="172" t="n"/>
      <c r="Q76" s="172" t="n"/>
      <c r="R76" s="172" t="n"/>
      <c r="S76" s="172" t="n"/>
      <c r="T76" s="172" t="n"/>
      <c r="U76" s="172" t="n"/>
    </row>
    <row r="77" ht="18" customHeight="1" s="163">
      <c r="A77" s="172" t="n"/>
      <c r="B77" s="194" t="inlineStr">
        <is>
          <t>Sport &amp; Activities</t>
        </is>
      </c>
      <c r="C77" s="249" t="n">
        <v>0</v>
      </c>
      <c r="D77" s="249" t="n">
        <v>0</v>
      </c>
      <c r="E77" s="249" t="n">
        <v>0</v>
      </c>
      <c r="F77" s="249" t="n">
        <v>0</v>
      </c>
      <c r="G77" s="243">
        <f>C77*52+D77*12+E77*4+F77</f>
        <v/>
      </c>
      <c r="H77" s="172" t="n"/>
      <c r="I77" s="172" t="n"/>
      <c r="J77" s="172" t="n"/>
      <c r="K77" s="172" t="n"/>
      <c r="L77" s="172" t="n"/>
      <c r="M77" s="172" t="n"/>
      <c r="N77" s="172" t="n"/>
      <c r="O77" s="172" t="n"/>
      <c r="P77" s="172" t="n"/>
      <c r="Q77" s="172" t="n"/>
      <c r="R77" s="172" t="n"/>
      <c r="S77" s="172" t="n"/>
      <c r="T77" s="172" t="n"/>
      <c r="U77" s="172" t="n"/>
    </row>
    <row r="78" ht="18" customHeight="1" s="163">
      <c r="A78" s="172" t="n"/>
      <c r="B78" s="191" t="inlineStr">
        <is>
          <t>Tutoring</t>
        </is>
      </c>
      <c r="C78" s="249" t="n">
        <v>0</v>
      </c>
      <c r="D78" s="249" t="n">
        <v>0</v>
      </c>
      <c r="E78" s="249" t="n">
        <v>0</v>
      </c>
      <c r="F78" s="249" t="n">
        <v>0</v>
      </c>
      <c r="G78" s="243">
        <f>C78*52+D78*12+E78*4+F78</f>
        <v/>
      </c>
      <c r="H78" s="172" t="n"/>
      <c r="I78" s="172" t="n"/>
      <c r="J78" s="172" t="n"/>
      <c r="K78" s="172" t="n"/>
      <c r="L78" s="172" t="n"/>
      <c r="M78" s="172" t="n"/>
      <c r="N78" s="172" t="n"/>
      <c r="O78" s="172" t="n"/>
      <c r="P78" s="172" t="n"/>
      <c r="Q78" s="172" t="n"/>
      <c r="R78" s="172" t="n"/>
      <c r="S78" s="172" t="n"/>
      <c r="T78" s="172" t="n"/>
      <c r="U78" s="172" t="n"/>
    </row>
    <row r="79" ht="18" customHeight="1" s="163">
      <c r="A79" s="172" t="n"/>
      <c r="B79" s="245" t="inlineStr">
        <is>
          <t>Child Care / After School</t>
        </is>
      </c>
      <c r="C79" s="249" t="n">
        <v>0</v>
      </c>
      <c r="D79" s="249" t="n">
        <v>0</v>
      </c>
      <c r="E79" s="249" t="n">
        <v>0</v>
      </c>
      <c r="F79" s="249" t="n">
        <v>0</v>
      </c>
      <c r="G79" s="243">
        <f>C79*52+D79*12+E79*4+F79</f>
        <v/>
      </c>
      <c r="H79" s="172" t="n"/>
      <c r="I79" s="172" t="n"/>
      <c r="J79" s="172" t="n"/>
      <c r="K79" s="172" t="n"/>
      <c r="L79" s="172" t="n"/>
      <c r="M79" s="172" t="n"/>
      <c r="N79" s="172" t="n"/>
      <c r="O79" s="172" t="n"/>
      <c r="P79" s="172" t="n"/>
      <c r="Q79" s="172" t="n"/>
      <c r="R79" s="172" t="n"/>
      <c r="S79" s="172" t="n"/>
      <c r="T79" s="172" t="n"/>
      <c r="U79" s="172" t="n"/>
    </row>
    <row r="80" ht="18" customHeight="1" s="163">
      <c r="A80" s="172" t="n"/>
      <c r="B80" s="191" t="inlineStr">
        <is>
          <t>Child Support</t>
        </is>
      </c>
      <c r="C80" s="249" t="n">
        <v>0</v>
      </c>
      <c r="D80" s="249" t="n">
        <v>0</v>
      </c>
      <c r="E80" s="249" t="n">
        <v>0</v>
      </c>
      <c r="F80" s="249" t="n">
        <v>0</v>
      </c>
      <c r="G80" s="243">
        <f>C80*52+D80*12+E80*4+F80</f>
        <v/>
      </c>
      <c r="H80" s="172" t="n"/>
      <c r="I80" s="172" t="n"/>
      <c r="J80" s="172" t="n"/>
      <c r="K80" s="172" t="n"/>
      <c r="L80" s="172" t="n"/>
      <c r="M80" s="172" t="n"/>
      <c r="N80" s="172" t="n"/>
      <c r="O80" s="172" t="n"/>
      <c r="P80" s="172" t="n"/>
      <c r="Q80" s="172" t="n"/>
      <c r="R80" s="172" t="n"/>
      <c r="S80" s="172" t="n"/>
      <c r="T80" s="172" t="n"/>
      <c r="U80" s="172" t="n"/>
    </row>
    <row r="81" ht="18" customHeight="1" s="163">
      <c r="A81" s="172" t="n"/>
      <c r="B81" s="259" t="inlineStr">
        <is>
          <t xml:space="preserve">  Total — EDUCATION &amp; CHILDREN</t>
        </is>
      </c>
      <c r="C81" s="248" t="n"/>
      <c r="D81" s="248" t="n"/>
      <c r="E81" s="248" t="n"/>
      <c r="F81" s="248" t="n"/>
      <c r="G81" s="248">
        <f>SUM(G75:G80)</f>
        <v/>
      </c>
      <c r="H81" s="172" t="n"/>
      <c r="I81" s="172" t="n"/>
      <c r="J81" s="172" t="n"/>
      <c r="K81" s="172" t="n"/>
      <c r="L81" s="172" t="n"/>
      <c r="M81" s="172" t="n"/>
      <c r="N81" s="172" t="n"/>
      <c r="O81" s="172" t="n"/>
      <c r="P81" s="172" t="n"/>
      <c r="Q81" s="172" t="n"/>
      <c r="R81" s="172" t="n"/>
      <c r="S81" s="172" t="n"/>
      <c r="T81" s="172" t="n"/>
      <c r="U81" s="172" t="n"/>
    </row>
    <row r="82" ht="21.75" customHeight="1" s="163">
      <c r="A82" s="172" t="n"/>
      <c r="B82" s="185" t="inlineStr">
        <is>
          <t>WORK-RELATED COSTS</t>
        </is>
      </c>
      <c r="C82" s="198" t="n"/>
      <c r="D82" s="198" t="n"/>
      <c r="E82" s="198" t="n"/>
      <c r="F82" s="198" t="n"/>
      <c r="G82" s="199" t="n"/>
      <c r="H82" s="172" t="n"/>
      <c r="I82" s="172" t="n"/>
      <c r="J82" s="172" t="n"/>
      <c r="K82" s="172" t="n"/>
      <c r="L82" s="172" t="n"/>
      <c r="M82" s="172" t="n"/>
      <c r="N82" s="172" t="n"/>
      <c r="O82" s="172" t="n"/>
      <c r="P82" s="172" t="n"/>
      <c r="Q82" s="172" t="n"/>
      <c r="R82" s="172" t="n"/>
      <c r="S82" s="172" t="n"/>
      <c r="T82" s="172" t="n"/>
      <c r="U82" s="172" t="n"/>
    </row>
    <row r="83" ht="18" customHeight="1" s="163">
      <c r="A83" s="172" t="n"/>
      <c r="B83" s="245" t="inlineStr">
        <is>
          <t>Professional Memberships</t>
        </is>
      </c>
      <c r="C83" s="249" t="n">
        <v>0</v>
      </c>
      <c r="D83" s="249" t="n">
        <v>0</v>
      </c>
      <c r="E83" s="249" t="n">
        <v>0</v>
      </c>
      <c r="F83" s="249" t="n">
        <v>0</v>
      </c>
      <c r="G83" s="243">
        <f>C83*52+D83*12+E83*4+F83</f>
        <v/>
      </c>
      <c r="H83" s="172" t="n"/>
      <c r="I83" s="172" t="n"/>
      <c r="J83" s="172" t="n"/>
      <c r="K83" s="172" t="n"/>
      <c r="L83" s="172" t="n"/>
      <c r="M83" s="172" t="n"/>
      <c r="N83" s="172" t="n"/>
      <c r="O83" s="172" t="n"/>
      <c r="P83" s="172" t="n"/>
      <c r="Q83" s="172" t="n"/>
      <c r="R83" s="172" t="n"/>
      <c r="S83" s="172" t="n"/>
      <c r="T83" s="172" t="n"/>
      <c r="U83" s="172" t="n"/>
    </row>
    <row r="84" ht="18" customHeight="1" s="163">
      <c r="A84" s="172" t="n"/>
      <c r="B84" s="191" t="inlineStr">
        <is>
          <t>Work Subscriptions</t>
        </is>
      </c>
      <c r="C84" s="249" t="n">
        <v>0</v>
      </c>
      <c r="D84" s="249" t="n">
        <v>0</v>
      </c>
      <c r="E84" s="249" t="n">
        <v>0</v>
      </c>
      <c r="F84" s="249" t="n">
        <v>0</v>
      </c>
      <c r="G84" s="243">
        <f>C84*52+D84*12+E84*4+F84</f>
        <v/>
      </c>
      <c r="H84" s="172" t="n"/>
      <c r="I84" s="172" t="n"/>
      <c r="J84" s="172" t="n"/>
      <c r="K84" s="172" t="n"/>
      <c r="L84" s="172" t="n"/>
      <c r="M84" s="172" t="n"/>
      <c r="N84" s="172" t="n"/>
      <c r="O84" s="172" t="n"/>
      <c r="P84" s="172" t="n"/>
      <c r="Q84" s="172" t="n"/>
      <c r="R84" s="172" t="n"/>
      <c r="S84" s="172" t="n"/>
      <c r="T84" s="172" t="n"/>
      <c r="U84" s="172" t="n"/>
    </row>
    <row r="85" ht="18" customHeight="1" s="163">
      <c r="A85" s="172" t="n"/>
      <c r="B85" s="194" t="inlineStr">
        <is>
          <t>Other Work Costs</t>
        </is>
      </c>
      <c r="C85" s="249" t="n">
        <v>0</v>
      </c>
      <c r="D85" s="249" t="n">
        <v>0</v>
      </c>
      <c r="E85" s="249" t="n">
        <v>0</v>
      </c>
      <c r="F85" s="249" t="n">
        <v>0</v>
      </c>
      <c r="G85" s="243">
        <f>C85*52+D85*12+E85*4+F85</f>
        <v/>
      </c>
      <c r="H85" s="172" t="n"/>
      <c r="I85" s="172" t="n"/>
      <c r="J85" s="172" t="n"/>
      <c r="K85" s="172" t="n"/>
      <c r="L85" s="172" t="n"/>
      <c r="M85" s="172" t="n"/>
      <c r="N85" s="172" t="n"/>
      <c r="O85" s="172" t="n"/>
      <c r="P85" s="172" t="n"/>
      <c r="Q85" s="172" t="n"/>
      <c r="R85" s="172" t="n"/>
      <c r="S85" s="172" t="n"/>
      <c r="T85" s="172" t="n"/>
      <c r="U85" s="172" t="n"/>
    </row>
    <row r="86" ht="18" customHeight="1" s="163">
      <c r="A86" s="172" t="n"/>
      <c r="B86" s="259" t="inlineStr">
        <is>
          <t xml:space="preserve">  Total — WORK-RELATED COSTS</t>
        </is>
      </c>
      <c r="C86" s="248" t="n"/>
      <c r="D86" s="248" t="n"/>
      <c r="E86" s="248" t="n"/>
      <c r="F86" s="248" t="n"/>
      <c r="G86" s="248">
        <f>SUM(G83:G85)</f>
        <v/>
      </c>
      <c r="H86" s="172" t="n"/>
      <c r="I86" s="172" t="n"/>
      <c r="J86" s="172" t="n"/>
      <c r="K86" s="172" t="n"/>
      <c r="L86" s="172" t="n"/>
      <c r="M86" s="172" t="n"/>
      <c r="N86" s="172" t="n"/>
      <c r="O86" s="172" t="n"/>
      <c r="P86" s="172" t="n"/>
      <c r="Q86" s="172" t="n"/>
      <c r="R86" s="172" t="n"/>
      <c r="S86" s="172" t="n"/>
      <c r="T86" s="172" t="n"/>
      <c r="U86" s="172" t="n"/>
    </row>
    <row r="87" ht="21.75" customHeight="1" s="163">
      <c r="A87" s="172" t="n"/>
      <c r="B87" s="185" t="inlineStr">
        <is>
          <t>HEALTH &amp; FITNESS</t>
        </is>
      </c>
      <c r="C87" s="198" t="n"/>
      <c r="D87" s="198" t="n"/>
      <c r="E87" s="198" t="n"/>
      <c r="F87" s="198" t="n"/>
      <c r="G87" s="199" t="n"/>
      <c r="H87" s="172" t="n"/>
      <c r="I87" s="172" t="n"/>
      <c r="J87" s="172" t="n"/>
      <c r="K87" s="172" t="n"/>
      <c r="L87" s="172" t="n"/>
      <c r="M87" s="172" t="n"/>
      <c r="N87" s="172" t="n"/>
      <c r="O87" s="172" t="n"/>
      <c r="P87" s="172" t="n"/>
      <c r="Q87" s="172" t="n"/>
      <c r="R87" s="172" t="n"/>
      <c r="S87" s="172" t="n"/>
      <c r="T87" s="172" t="n"/>
      <c r="U87" s="172" t="n"/>
    </row>
    <row r="88" ht="18" customHeight="1" s="163">
      <c r="A88" s="172" t="n"/>
      <c r="B88" s="191" t="inlineStr">
        <is>
          <t>Gym / Pilates / Yoga</t>
        </is>
      </c>
      <c r="C88" s="249" t="n">
        <v>0</v>
      </c>
      <c r="D88" s="249" t="n">
        <v>0</v>
      </c>
      <c r="E88" s="249" t="n">
        <v>0</v>
      </c>
      <c r="F88" s="249" t="n">
        <v>0</v>
      </c>
      <c r="G88" s="243">
        <f>C88*52+D88*12+E88*4+F88</f>
        <v/>
      </c>
      <c r="H88" s="172" t="n"/>
      <c r="I88" s="172" t="n"/>
      <c r="J88" s="172" t="n"/>
      <c r="K88" s="172" t="n"/>
      <c r="L88" s="172" t="n"/>
      <c r="M88" s="172" t="n"/>
      <c r="N88" s="172" t="n"/>
      <c r="O88" s="172" t="n"/>
      <c r="P88" s="172" t="n"/>
      <c r="Q88" s="172" t="n"/>
      <c r="R88" s="172" t="n"/>
      <c r="S88" s="172" t="n"/>
      <c r="T88" s="172" t="n"/>
      <c r="U88" s="172" t="n"/>
    </row>
    <row r="89" ht="18" customHeight="1" s="163">
      <c r="A89" s="172" t="n"/>
      <c r="B89" s="194" t="inlineStr">
        <is>
          <t>Other Fitness</t>
        </is>
      </c>
      <c r="C89" s="249" t="n">
        <v>0</v>
      </c>
      <c r="D89" s="249" t="n">
        <v>0</v>
      </c>
      <c r="E89" s="249" t="n">
        <v>0</v>
      </c>
      <c r="F89" s="249" t="n">
        <v>0</v>
      </c>
      <c r="G89" s="243">
        <f>C89*52+D89*12+E89*4+F89</f>
        <v/>
      </c>
      <c r="H89" s="172" t="n"/>
      <c r="I89" s="172" t="n"/>
      <c r="J89" s="172" t="n"/>
      <c r="K89" s="172" t="n"/>
      <c r="L89" s="172" t="n"/>
      <c r="M89" s="172" t="n"/>
      <c r="N89" s="172" t="n"/>
      <c r="O89" s="172" t="n"/>
      <c r="P89" s="172" t="n"/>
      <c r="Q89" s="172" t="n"/>
      <c r="R89" s="172" t="n"/>
      <c r="S89" s="172" t="n"/>
      <c r="T89" s="172" t="n"/>
      <c r="U89" s="172" t="n"/>
    </row>
    <row r="90" ht="18" customHeight="1" s="163">
      <c r="A90" s="172" t="n"/>
      <c r="B90" s="259" t="inlineStr">
        <is>
          <t xml:space="preserve">  Total — HEALTH &amp; FITNESS</t>
        </is>
      </c>
      <c r="C90" s="248" t="n"/>
      <c r="D90" s="248" t="n"/>
      <c r="E90" s="248" t="n"/>
      <c r="F90" s="248" t="n"/>
      <c r="G90" s="248">
        <f>SUM(G88:G89)</f>
        <v/>
      </c>
      <c r="H90" s="172" t="n"/>
      <c r="I90" s="172" t="n"/>
      <c r="J90" s="172" t="n"/>
      <c r="K90" s="172" t="n"/>
      <c r="L90" s="172" t="n"/>
      <c r="M90" s="172" t="n"/>
      <c r="N90" s="172" t="n"/>
      <c r="O90" s="172" t="n"/>
      <c r="P90" s="172" t="n"/>
      <c r="Q90" s="172" t="n"/>
      <c r="R90" s="172" t="n"/>
      <c r="S90" s="172" t="n"/>
      <c r="T90" s="172" t="n"/>
      <c r="U90" s="172" t="n"/>
    </row>
    <row r="91" ht="21.75" customHeight="1" s="163">
      <c r="A91" s="172" t="n"/>
      <c r="B91" s="185" t="inlineStr">
        <is>
          <t>GIFTS &amp; DONATIONS</t>
        </is>
      </c>
      <c r="C91" s="198" t="n"/>
      <c r="D91" s="198" t="n"/>
      <c r="E91" s="198" t="n"/>
      <c r="F91" s="198" t="n"/>
      <c r="G91" s="199" t="n"/>
      <c r="H91" s="172" t="n"/>
      <c r="I91" s="172" t="n"/>
      <c r="J91" s="172" t="n"/>
      <c r="K91" s="172" t="n"/>
      <c r="L91" s="172" t="n"/>
      <c r="M91" s="172" t="n"/>
      <c r="N91" s="172" t="n"/>
      <c r="O91" s="172" t="n"/>
      <c r="P91" s="172" t="n"/>
      <c r="Q91" s="172" t="n"/>
      <c r="R91" s="172" t="n"/>
      <c r="S91" s="172" t="n"/>
      <c r="T91" s="172" t="n"/>
      <c r="U91" s="172" t="n"/>
    </row>
    <row r="92" ht="18" customHeight="1" s="163">
      <c r="A92" s="172" t="n"/>
      <c r="B92" s="191" t="inlineStr">
        <is>
          <t>Birthdays</t>
        </is>
      </c>
      <c r="C92" s="249" t="n">
        <v>0</v>
      </c>
      <c r="D92" s="249" t="n">
        <v>0</v>
      </c>
      <c r="E92" s="249" t="n">
        <v>0</v>
      </c>
      <c r="F92" s="249" t="n">
        <v>0</v>
      </c>
      <c r="G92" s="243">
        <f>C92*52+D92*12+E92*4+F92</f>
        <v/>
      </c>
      <c r="H92" s="172" t="n"/>
      <c r="I92" s="172" t="n"/>
      <c r="J92" s="172" t="n"/>
      <c r="K92" s="172" t="n"/>
      <c r="L92" s="172" t="n"/>
      <c r="M92" s="172" t="n"/>
      <c r="N92" s="172" t="n"/>
      <c r="O92" s="172" t="n"/>
      <c r="P92" s="172" t="n"/>
      <c r="Q92" s="172" t="n"/>
      <c r="R92" s="172" t="n"/>
      <c r="S92" s="172" t="n"/>
      <c r="T92" s="172" t="n"/>
      <c r="U92" s="172" t="n"/>
    </row>
    <row r="93" ht="18" customHeight="1" s="163">
      <c r="A93" s="172" t="n"/>
      <c r="B93" s="194" t="inlineStr">
        <is>
          <t>Christmas</t>
        </is>
      </c>
      <c r="C93" s="249" t="n">
        <v>0</v>
      </c>
      <c r="D93" s="249" t="n">
        <v>0</v>
      </c>
      <c r="E93" s="249" t="n">
        <v>0</v>
      </c>
      <c r="F93" s="249" t="n">
        <v>0</v>
      </c>
      <c r="G93" s="243">
        <f>C93*52+D93*12+E93*4+F93</f>
        <v/>
      </c>
      <c r="H93" s="172" t="n"/>
      <c r="I93" s="172" t="n"/>
      <c r="J93" s="172" t="n"/>
      <c r="K93" s="172" t="n"/>
      <c r="L93" s="172" t="n"/>
      <c r="M93" s="172" t="n"/>
      <c r="N93" s="172" t="n"/>
      <c r="O93" s="172" t="n"/>
      <c r="P93" s="172" t="n"/>
      <c r="Q93" s="172" t="n"/>
      <c r="R93" s="172" t="n"/>
      <c r="S93" s="172" t="n"/>
      <c r="T93" s="172" t="n"/>
      <c r="U93" s="172" t="n"/>
    </row>
    <row r="94" ht="18" customHeight="1" s="163">
      <c r="A94" s="172" t="n"/>
      <c r="B94" s="191" t="inlineStr">
        <is>
          <t>Other Gifts</t>
        </is>
      </c>
      <c r="C94" s="249" t="n">
        <v>0</v>
      </c>
      <c r="D94" s="249" t="n">
        <v>0</v>
      </c>
      <c r="E94" s="249" t="n">
        <v>0</v>
      </c>
      <c r="F94" s="249" t="n">
        <v>0</v>
      </c>
      <c r="G94" s="243">
        <f>C94*52+D94*12+E94*4+F94</f>
        <v/>
      </c>
      <c r="H94" s="172" t="n"/>
      <c r="I94" s="172" t="n"/>
      <c r="J94" s="172" t="n"/>
      <c r="K94" s="172" t="n"/>
      <c r="L94" s="172" t="n"/>
      <c r="M94" s="172" t="n"/>
      <c r="N94" s="172" t="n"/>
      <c r="O94" s="172" t="n"/>
      <c r="P94" s="172" t="n"/>
      <c r="Q94" s="172" t="n"/>
      <c r="R94" s="172" t="n"/>
      <c r="S94" s="172" t="n"/>
      <c r="T94" s="172" t="n"/>
      <c r="U94" s="172" t="n"/>
    </row>
    <row r="95" ht="18" customHeight="1" s="163">
      <c r="A95" s="172" t="n"/>
      <c r="B95" s="194" t="inlineStr">
        <is>
          <t>Charitable Donations</t>
        </is>
      </c>
      <c r="C95" s="249" t="n">
        <v>0</v>
      </c>
      <c r="D95" s="249" t="n">
        <v>0</v>
      </c>
      <c r="E95" s="249" t="n">
        <v>0</v>
      </c>
      <c r="F95" s="249" t="n">
        <v>0</v>
      </c>
      <c r="G95" s="243">
        <f>C95*52+D95*12+E95*4+F95</f>
        <v/>
      </c>
      <c r="H95" s="172" t="n"/>
      <c r="I95" s="172" t="n"/>
      <c r="J95" s="172" t="n"/>
      <c r="K95" s="172" t="n"/>
      <c r="L95" s="172" t="n"/>
      <c r="M95" s="172" t="n"/>
      <c r="N95" s="172" t="n"/>
      <c r="O95" s="172" t="n"/>
      <c r="P95" s="172" t="n"/>
      <c r="Q95" s="172" t="n"/>
      <c r="R95" s="172" t="n"/>
      <c r="S95" s="172" t="n"/>
      <c r="T95" s="172" t="n"/>
      <c r="U95" s="172" t="n"/>
    </row>
    <row r="96" ht="18" customHeight="1" s="163">
      <c r="A96" s="172" t="n"/>
      <c r="B96" s="259" t="inlineStr">
        <is>
          <t xml:space="preserve">  Total — GIFTS &amp; DONATIONS</t>
        </is>
      </c>
      <c r="C96" s="248" t="n"/>
      <c r="D96" s="248" t="n"/>
      <c r="E96" s="248" t="n"/>
      <c r="F96" s="248" t="n"/>
      <c r="G96" s="248">
        <f>SUM(G92:G95)</f>
        <v/>
      </c>
      <c r="H96" s="172" t="n"/>
      <c r="I96" s="172" t="n"/>
      <c r="J96" s="172" t="n"/>
      <c r="K96" s="172" t="n"/>
      <c r="L96" s="172" t="n"/>
      <c r="M96" s="172" t="n"/>
      <c r="N96" s="172" t="n"/>
      <c r="O96" s="172" t="n"/>
      <c r="P96" s="172" t="n"/>
      <c r="Q96" s="172" t="n"/>
      <c r="R96" s="172" t="n"/>
      <c r="S96" s="172" t="n"/>
      <c r="T96" s="172" t="n"/>
      <c r="U96" s="172" t="n"/>
    </row>
    <row r="97" ht="21.75" customHeight="1" s="163">
      <c r="A97" s="172" t="n"/>
      <c r="B97" s="185" t="inlineStr">
        <is>
          <t>HOLIDAYS &amp; TRAVEL</t>
        </is>
      </c>
      <c r="C97" s="198" t="n"/>
      <c r="D97" s="198" t="n"/>
      <c r="E97" s="198" t="n"/>
      <c r="F97" s="198" t="n"/>
      <c r="G97" s="199" t="n"/>
      <c r="H97" s="172" t="n"/>
      <c r="I97" s="172" t="n"/>
      <c r="J97" s="172" t="n"/>
      <c r="K97" s="172" t="n"/>
      <c r="L97" s="172" t="n"/>
      <c r="M97" s="172" t="n"/>
      <c r="N97" s="172" t="n"/>
      <c r="O97" s="172" t="n"/>
      <c r="P97" s="172" t="n"/>
      <c r="Q97" s="172" t="n"/>
      <c r="R97" s="172" t="n"/>
      <c r="S97" s="172" t="n"/>
      <c r="T97" s="172" t="n"/>
      <c r="U97" s="172" t="n"/>
    </row>
    <row r="98" ht="18" customHeight="1" s="163">
      <c r="A98" s="172" t="n"/>
      <c r="B98" s="191" t="inlineStr">
        <is>
          <t>Holiday Home Costs</t>
        </is>
      </c>
      <c r="C98" s="249" t="n">
        <v>0</v>
      </c>
      <c r="D98" s="249" t="n">
        <v>0</v>
      </c>
      <c r="E98" s="249" t="n">
        <v>0</v>
      </c>
      <c r="F98" s="249" t="n">
        <v>0</v>
      </c>
      <c r="G98" s="243">
        <f>C98*52+D98*12+E98*4+F98</f>
        <v/>
      </c>
      <c r="H98" s="172" t="n"/>
      <c r="I98" s="172" t="n"/>
      <c r="J98" s="172" t="n"/>
      <c r="K98" s="172" t="n"/>
      <c r="L98" s="172" t="n"/>
      <c r="M98" s="172" t="n"/>
      <c r="N98" s="172" t="n"/>
      <c r="O98" s="172" t="n"/>
      <c r="P98" s="172" t="n"/>
      <c r="Q98" s="172" t="n"/>
      <c r="R98" s="172" t="n"/>
      <c r="S98" s="172" t="n"/>
      <c r="T98" s="172" t="n"/>
      <c r="U98" s="172" t="n"/>
    </row>
    <row r="99" ht="18" customHeight="1" s="163">
      <c r="A99" s="172" t="n"/>
      <c r="B99" s="194" t="inlineStr">
        <is>
          <t>Annual Overseas Trip</t>
        </is>
      </c>
      <c r="C99" s="249" t="n">
        <v>0</v>
      </c>
      <c r="D99" s="249" t="n">
        <v>0</v>
      </c>
      <c r="E99" s="249" t="n">
        <v>0</v>
      </c>
      <c r="F99" s="249" t="n">
        <v>0</v>
      </c>
      <c r="G99" s="243">
        <f>C99*52+D99*12+E99*4+F99</f>
        <v/>
      </c>
      <c r="H99" s="172" t="n"/>
      <c r="I99" s="172" t="n"/>
      <c r="J99" s="172" t="n"/>
      <c r="K99" s="172" t="n"/>
      <c r="L99" s="172" t="n"/>
      <c r="M99" s="172" t="n"/>
      <c r="N99" s="172" t="n"/>
      <c r="O99" s="172" t="n"/>
      <c r="P99" s="172" t="n"/>
      <c r="Q99" s="172" t="n"/>
      <c r="R99" s="172" t="n"/>
      <c r="S99" s="172" t="n"/>
      <c r="T99" s="172" t="n"/>
      <c r="U99" s="172" t="n"/>
    </row>
    <row r="100" ht="18" customHeight="1" s="163">
      <c r="A100" s="172" t="n"/>
      <c r="B100" s="191" t="inlineStr">
        <is>
          <t>Domestic Travel</t>
        </is>
      </c>
      <c r="C100" s="249" t="n">
        <v>0</v>
      </c>
      <c r="D100" s="249" t="n">
        <v>0</v>
      </c>
      <c r="E100" s="249" t="n">
        <v>0</v>
      </c>
      <c r="F100" s="249" t="n">
        <v>0</v>
      </c>
      <c r="G100" s="243">
        <f>C100*52+D100*12+E100*4+F100</f>
        <v/>
      </c>
      <c r="H100" s="172" t="n"/>
      <c r="I100" s="172" t="n"/>
      <c r="J100" s="172" t="n"/>
      <c r="K100" s="172" t="n"/>
      <c r="L100" s="172" t="n"/>
      <c r="M100" s="172" t="n"/>
      <c r="N100" s="172" t="n"/>
      <c r="O100" s="172" t="n"/>
      <c r="P100" s="172" t="n"/>
      <c r="Q100" s="172" t="n"/>
      <c r="R100" s="172" t="n"/>
      <c r="S100" s="172" t="n"/>
      <c r="T100" s="172" t="n"/>
      <c r="U100" s="172" t="n"/>
    </row>
    <row r="101" ht="18" customHeight="1" s="163">
      <c r="A101" s="172" t="n"/>
      <c r="B101" s="194" t="inlineStr">
        <is>
          <t>Other Travel</t>
        </is>
      </c>
      <c r="C101" s="249" t="n">
        <v>0</v>
      </c>
      <c r="D101" s="249" t="n">
        <v>0</v>
      </c>
      <c r="E101" s="249" t="n">
        <v>0</v>
      </c>
      <c r="F101" s="249" t="n">
        <v>0</v>
      </c>
      <c r="G101" s="243">
        <f>C101*52+D101*12+E101*4+F101</f>
        <v/>
      </c>
      <c r="H101" s="172" t="n"/>
      <c r="I101" s="172" t="n"/>
      <c r="J101" s="172" t="n"/>
      <c r="K101" s="172" t="n"/>
      <c r="L101" s="172" t="n"/>
      <c r="M101" s="172" t="n"/>
      <c r="N101" s="172" t="n"/>
      <c r="O101" s="172" t="n"/>
      <c r="P101" s="172" t="n"/>
      <c r="Q101" s="172" t="n"/>
      <c r="R101" s="172" t="n"/>
      <c r="S101" s="172" t="n"/>
      <c r="T101" s="172" t="n"/>
      <c r="U101" s="172" t="n"/>
    </row>
    <row r="102" ht="18" customHeight="1" s="163">
      <c r="A102" s="172" t="n"/>
      <c r="B102" s="259" t="inlineStr">
        <is>
          <t xml:space="preserve">  Total — HOLIDAYS &amp; TRAVEL</t>
        </is>
      </c>
      <c r="C102" s="248" t="n"/>
      <c r="D102" s="248" t="n"/>
      <c r="E102" s="248" t="n"/>
      <c r="F102" s="248" t="n"/>
      <c r="G102" s="248">
        <f>SUM(G98:G101)</f>
        <v/>
      </c>
      <c r="H102" s="172" t="n"/>
      <c r="I102" s="172" t="n"/>
      <c r="J102" s="172" t="n"/>
      <c r="K102" s="172" t="n"/>
      <c r="L102" s="172" t="n"/>
      <c r="M102" s="172" t="n"/>
      <c r="N102" s="172" t="n"/>
      <c r="O102" s="172" t="n"/>
      <c r="P102" s="172" t="n"/>
      <c r="Q102" s="172" t="n"/>
      <c r="R102" s="172" t="n"/>
      <c r="S102" s="172" t="n"/>
      <c r="T102" s="172" t="n"/>
      <c r="U102" s="172" t="n"/>
    </row>
    <row r="103" ht="21.75" customHeight="1" s="163">
      <c r="A103" s="172" t="n"/>
      <c r="B103" s="185" t="inlineStr">
        <is>
          <t>MISCELLANEOUS</t>
        </is>
      </c>
      <c r="C103" s="198" t="n"/>
      <c r="D103" s="198" t="n"/>
      <c r="E103" s="198" t="n"/>
      <c r="F103" s="198" t="n"/>
      <c r="G103" s="199" t="n"/>
      <c r="H103" s="172" t="n"/>
      <c r="I103" s="172" t="n"/>
      <c r="J103" s="172" t="n"/>
      <c r="K103" s="172" t="n"/>
      <c r="L103" s="172" t="n"/>
      <c r="M103" s="172" t="n"/>
      <c r="N103" s="172" t="n"/>
      <c r="O103" s="172" t="n"/>
      <c r="P103" s="172" t="n"/>
      <c r="Q103" s="172" t="n"/>
      <c r="R103" s="172" t="n"/>
      <c r="S103" s="172" t="n"/>
      <c r="T103" s="172" t="n"/>
      <c r="U103" s="172" t="n"/>
    </row>
    <row r="104" ht="18" customHeight="1" s="163">
      <c r="A104" s="172" t="n"/>
      <c r="B104" s="191" t="inlineStr">
        <is>
          <t>Pet Costs</t>
        </is>
      </c>
      <c r="C104" s="249" t="n">
        <v>0</v>
      </c>
      <c r="D104" s="249" t="n">
        <v>0</v>
      </c>
      <c r="E104" s="249" t="n">
        <v>0</v>
      </c>
      <c r="F104" s="249" t="n">
        <v>0</v>
      </c>
      <c r="G104" s="243">
        <f>C104*52+D104*12+E104*4+F104</f>
        <v/>
      </c>
      <c r="H104" s="172" t="n"/>
      <c r="I104" s="172" t="n"/>
      <c r="J104" s="172" t="n"/>
      <c r="K104" s="172" t="n"/>
      <c r="L104" s="172" t="n"/>
      <c r="M104" s="172" t="n"/>
      <c r="N104" s="172" t="n"/>
      <c r="O104" s="172" t="n"/>
      <c r="P104" s="172" t="n"/>
      <c r="Q104" s="172" t="n"/>
      <c r="R104" s="172" t="n"/>
      <c r="S104" s="172" t="n"/>
      <c r="T104" s="172" t="n"/>
      <c r="U104" s="172" t="n"/>
    </row>
    <row r="105" ht="18" customHeight="1" s="163">
      <c r="A105" s="172" t="n"/>
      <c r="B105" s="194" t="inlineStr">
        <is>
          <t>Other Expenses</t>
        </is>
      </c>
      <c r="C105" s="249" t="n">
        <v>0</v>
      </c>
      <c r="D105" s="249" t="n">
        <v>0</v>
      </c>
      <c r="E105" s="249" t="n">
        <v>0</v>
      </c>
      <c r="F105" s="249" t="n">
        <v>0</v>
      </c>
      <c r="G105" s="243">
        <f>C105*52+D105*12+E105*4+F105</f>
        <v/>
      </c>
      <c r="H105" s="172" t="n"/>
      <c r="I105" s="172" t="n"/>
      <c r="J105" s="172" t="n"/>
      <c r="K105" s="172" t="n"/>
      <c r="L105" s="172" t="n"/>
      <c r="M105" s="172" t="n"/>
      <c r="N105" s="172" t="n"/>
      <c r="O105" s="172" t="n"/>
      <c r="P105" s="172" t="n"/>
      <c r="Q105" s="172" t="n"/>
      <c r="R105" s="172" t="n"/>
      <c r="S105" s="172" t="n"/>
      <c r="T105" s="172" t="n"/>
      <c r="U105" s="172" t="n"/>
    </row>
    <row r="106" ht="18" customHeight="1" s="163">
      <c r="A106" s="172" t="n"/>
      <c r="B106" s="259" t="inlineStr">
        <is>
          <t xml:space="preserve">  Total — MISCELLANEOUS</t>
        </is>
      </c>
      <c r="C106" s="248" t="n"/>
      <c r="D106" s="248" t="n"/>
      <c r="E106" s="248" t="n"/>
      <c r="F106" s="248" t="n"/>
      <c r="G106" s="248">
        <f>SUM(G104:G105)</f>
        <v/>
      </c>
      <c r="H106" s="172" t="n"/>
      <c r="I106" s="172" t="n"/>
      <c r="J106" s="172" t="n"/>
      <c r="K106" s="172" t="n"/>
      <c r="L106" s="172" t="n"/>
      <c r="M106" s="172" t="n"/>
      <c r="N106" s="172" t="n"/>
      <c r="O106" s="172" t="n"/>
      <c r="P106" s="172" t="n"/>
      <c r="Q106" s="172" t="n"/>
      <c r="R106" s="172" t="n"/>
      <c r="S106" s="172" t="n"/>
      <c r="T106" s="172" t="n"/>
      <c r="U106" s="172" t="n"/>
    </row>
    <row r="107">
      <c r="A107" s="172" t="n"/>
      <c r="B107" s="172" t="n"/>
      <c r="C107" s="172" t="n"/>
      <c r="D107" s="172" t="n"/>
      <c r="E107" s="172" t="n"/>
      <c r="F107" s="172" t="n"/>
      <c r="G107" s="172" t="n"/>
      <c r="H107" s="172" t="n"/>
      <c r="I107" s="172" t="n"/>
      <c r="J107" s="172" t="n"/>
      <c r="K107" s="172" t="n"/>
      <c r="L107" s="172" t="n"/>
      <c r="M107" s="172" t="n"/>
      <c r="N107" s="172" t="n"/>
      <c r="O107" s="172" t="n"/>
      <c r="P107" s="172" t="n"/>
      <c r="Q107" s="172" t="n"/>
      <c r="R107" s="172" t="n"/>
      <c r="S107" s="172" t="n"/>
      <c r="T107" s="172" t="n"/>
      <c r="U107" s="172" t="n"/>
    </row>
    <row r="108" ht="21.75" customHeight="1" s="163">
      <c r="A108" s="172" t="n"/>
      <c r="B108" s="250" t="inlineStr">
        <is>
          <t>TOTAL ANNUAL HOUSEHOLD EXPENSES</t>
        </is>
      </c>
      <c r="C108" s="198" t="n"/>
      <c r="D108" s="198" t="n"/>
      <c r="E108" s="198" t="n"/>
      <c r="F108" s="198" t="n"/>
      <c r="G108" s="199" t="n"/>
      <c r="H108" s="172" t="n"/>
      <c r="I108" s="172" t="n"/>
      <c r="J108" s="172" t="n"/>
      <c r="K108" s="172" t="n"/>
      <c r="L108" s="172" t="n"/>
      <c r="M108" s="172" t="n"/>
      <c r="N108" s="172" t="n"/>
      <c r="O108" s="172" t="n"/>
      <c r="P108" s="172" t="n"/>
      <c r="Q108" s="172" t="n"/>
      <c r="R108" s="172" t="n"/>
      <c r="S108" s="172" t="n"/>
      <c r="T108" s="172" t="n"/>
      <c r="U108" s="172" t="n"/>
    </row>
    <row r="109" ht="18" customHeight="1" s="163">
      <c r="A109" s="172" t="n"/>
      <c r="B109" s="247" t="inlineStr">
        <is>
          <t>GRAND TOTAL</t>
        </is>
      </c>
      <c r="C109" s="248" t="n"/>
      <c r="D109" s="248" t="n"/>
      <c r="E109" s="248" t="n"/>
      <c r="F109" s="248" t="n"/>
      <c r="G109" s="248">
        <f>G9+G19+G23+G29+G35+G43+G51+G56+G65+G73+G81+G86+G90+G96+G102+G106</f>
        <v/>
      </c>
      <c r="H109" s="172" t="n"/>
      <c r="I109" s="172" t="n"/>
      <c r="J109" s="172" t="n"/>
      <c r="K109" s="172" t="n"/>
      <c r="L109" s="172" t="n"/>
      <c r="M109" s="172" t="n"/>
      <c r="N109" s="172" t="n"/>
      <c r="O109" s="172" t="n"/>
      <c r="P109" s="172" t="n"/>
      <c r="Q109" s="172" t="n"/>
      <c r="R109" s="172" t="n"/>
      <c r="S109" s="172" t="n"/>
      <c r="T109" s="172" t="n"/>
      <c r="U109" s="172" t="n"/>
    </row>
    <row r="110">
      <c r="A110" s="172" t="n"/>
      <c r="B110" s="172" t="n"/>
      <c r="C110" s="172" t="n"/>
      <c r="D110" s="172" t="n"/>
      <c r="E110" s="172" t="n"/>
      <c r="F110" s="172" t="n"/>
      <c r="G110" s="172" t="n"/>
      <c r="H110" s="172" t="n"/>
      <c r="I110" s="172" t="n"/>
      <c r="J110" s="172" t="n"/>
      <c r="K110" s="172" t="n"/>
      <c r="L110" s="172" t="n"/>
      <c r="M110" s="172" t="n"/>
      <c r="N110" s="172" t="n"/>
      <c r="O110" s="172" t="n"/>
      <c r="P110" s="172" t="n"/>
      <c r="Q110" s="172" t="n"/>
      <c r="R110" s="172" t="n"/>
      <c r="S110" s="172" t="n"/>
      <c r="T110" s="172" t="n"/>
      <c r="U110" s="172" t="n"/>
    </row>
    <row r="111">
      <c r="A111" s="172" t="n"/>
      <c r="B111" s="172" t="n"/>
      <c r="C111" s="172" t="n"/>
      <c r="D111" s="172" t="n"/>
      <c r="E111" s="172" t="n"/>
      <c r="F111" s="172" t="n"/>
      <c r="G111" s="172" t="n"/>
      <c r="H111" s="172" t="n"/>
      <c r="I111" s="172" t="n"/>
      <c r="J111" s="172" t="n"/>
      <c r="K111" s="172" t="n"/>
      <c r="L111" s="172" t="n"/>
      <c r="M111" s="172" t="n"/>
      <c r="N111" s="172" t="n"/>
      <c r="O111" s="172" t="n"/>
      <c r="P111" s="172" t="n"/>
      <c r="Q111" s="172" t="n"/>
      <c r="R111" s="172" t="n"/>
      <c r="S111" s="172" t="n"/>
      <c r="T111" s="172" t="n"/>
      <c r="U111" s="172" t="n"/>
    </row>
    <row r="112" ht="18" customHeight="1" s="163">
      <c r="A112" s="172" t="n"/>
      <c r="B112" s="202" t="inlineStr">
        <is>
          <t>📋 HOW TO USE — HOUSEHOLD EXPENDITURE</t>
        </is>
      </c>
      <c r="C112" s="203" t="n"/>
      <c r="D112" s="203" t="n"/>
      <c r="E112" s="203" t="n"/>
      <c r="F112" s="203" t="n"/>
      <c r="G112" s="203" t="n"/>
      <c r="H112" s="203" t="n"/>
      <c r="I112" s="204" t="n"/>
      <c r="J112" s="172" t="n"/>
      <c r="K112" s="172" t="n"/>
      <c r="L112" s="172" t="n"/>
      <c r="M112" s="172" t="n"/>
      <c r="N112" s="172" t="n"/>
      <c r="O112" s="172" t="n"/>
      <c r="P112" s="172" t="n"/>
      <c r="Q112" s="172" t="n"/>
      <c r="R112" s="172" t="n"/>
      <c r="S112" s="172" t="n"/>
      <c r="T112" s="172" t="n"/>
      <c r="U112" s="172" t="n"/>
    </row>
    <row r="113" ht="36" customHeight="1" s="163">
      <c r="A113" s="172" t="n"/>
      <c r="B113" s="205" t="inlineStr">
        <is>
          <t>Enter amounts in ONE frequency column only per item. Annual total auto-calculates from whichever column you use.</t>
        </is>
      </c>
      <c r="C113" s="204" t="n"/>
      <c r="D113" s="206" t="n"/>
      <c r="E113" s="203" t="n"/>
      <c r="F113" s="203" t="n"/>
      <c r="G113" s="203" t="n"/>
      <c r="H113" s="203" t="n"/>
      <c r="I113" s="204" t="n"/>
      <c r="J113" s="172" t="n"/>
      <c r="K113" s="172" t="n"/>
      <c r="L113" s="172" t="n"/>
      <c r="M113" s="172" t="n"/>
      <c r="N113" s="172" t="n"/>
      <c r="O113" s="172" t="n"/>
      <c r="P113" s="172" t="n"/>
      <c r="Q113" s="172" t="n"/>
      <c r="R113" s="172" t="n"/>
      <c r="S113" s="172" t="n"/>
      <c r="T113" s="172" t="n"/>
      <c r="U113" s="172" t="n"/>
    </row>
    <row r="114" ht="18" customHeight="1" s="163">
      <c r="A114" s="172" t="n"/>
      <c r="B114" s="210" t="inlineStr">
        <is>
          <t>→  Column C (Per Week)</t>
        </is>
      </c>
      <c r="C114" s="204" t="n"/>
      <c r="D114" s="208" t="inlineStr">
        <is>
          <t>Enter if you pay/track this weekly (e.g. groceries: $300/wk)</t>
        </is>
      </c>
      <c r="E114" s="203" t="n"/>
      <c r="F114" s="203" t="n"/>
      <c r="G114" s="203" t="n"/>
      <c r="H114" s="203" t="n"/>
      <c r="I114" s="204" t="n"/>
      <c r="J114" s="172" t="n"/>
      <c r="K114" s="172" t="n"/>
      <c r="L114" s="172" t="n"/>
      <c r="M114" s="172" t="n"/>
      <c r="N114" s="172" t="n"/>
      <c r="O114" s="172" t="n"/>
      <c r="P114" s="172" t="n"/>
      <c r="Q114" s="172" t="n"/>
      <c r="R114" s="172" t="n"/>
      <c r="S114" s="172" t="n"/>
      <c r="T114" s="172" t="n"/>
      <c r="U114" s="172" t="n"/>
    </row>
    <row r="115" ht="18" customHeight="1" s="163">
      <c r="A115" s="172" t="n"/>
      <c r="B115" s="302" t="inlineStr">
        <is>
          <t>→  Column D (Per Month)</t>
        </is>
      </c>
      <c r="C115" s="204" t="n"/>
      <c r="D115" s="206" t="inlineStr">
        <is>
          <t>Enter if paid monthly (e.g. electricity: $250/mo)</t>
        </is>
      </c>
      <c r="E115" s="203" t="n"/>
      <c r="F115" s="203" t="n"/>
      <c r="G115" s="203" t="n"/>
      <c r="H115" s="203" t="n"/>
      <c r="I115" s="204" t="n"/>
      <c r="J115" s="172" t="n"/>
      <c r="K115" s="172" t="n"/>
      <c r="L115" s="172" t="n"/>
      <c r="M115" s="172" t="n"/>
      <c r="N115" s="172" t="n"/>
      <c r="O115" s="172" t="n"/>
      <c r="P115" s="172" t="n"/>
      <c r="Q115" s="172" t="n"/>
      <c r="R115" s="172" t="n"/>
      <c r="S115" s="172" t="n"/>
      <c r="T115" s="172" t="n"/>
      <c r="U115" s="172" t="n"/>
    </row>
    <row r="116" ht="18" customHeight="1" s="163">
      <c r="A116" s="172" t="n"/>
      <c r="B116" s="210" t="inlineStr">
        <is>
          <t>→  Column E (Per Quarter)</t>
        </is>
      </c>
      <c r="C116" s="204" t="n"/>
      <c r="D116" s="208" t="inlineStr">
        <is>
          <t>Enter if paid quarterly (e.g. council rates: $800/qtr)</t>
        </is>
      </c>
      <c r="E116" s="203" t="n"/>
      <c r="F116" s="203" t="n"/>
      <c r="G116" s="203" t="n"/>
      <c r="H116" s="203" t="n"/>
      <c r="I116" s="204" t="n"/>
      <c r="J116" s="172" t="n"/>
      <c r="K116" s="172" t="n"/>
      <c r="L116" s="172" t="n"/>
      <c r="M116" s="172" t="n"/>
      <c r="N116" s="172" t="n"/>
      <c r="O116" s="172" t="n"/>
      <c r="P116" s="172" t="n"/>
      <c r="Q116" s="172" t="n"/>
      <c r="R116" s="172" t="n"/>
      <c r="S116" s="172" t="n"/>
      <c r="T116" s="172" t="n"/>
      <c r="U116" s="172" t="n"/>
    </row>
    <row r="117" ht="18" customHeight="1" s="163">
      <c r="A117" s="172" t="n"/>
      <c r="B117" s="302" t="inlineStr">
        <is>
          <t>→  Column F (Per Year)</t>
        </is>
      </c>
      <c r="C117" s="204" t="n"/>
      <c r="D117" s="206" t="inlineStr">
        <is>
          <t>Enter annual lump sums (e.g. car registration: $900/yr)</t>
        </is>
      </c>
      <c r="E117" s="203" t="n"/>
      <c r="F117" s="203" t="n"/>
      <c r="G117" s="203" t="n"/>
      <c r="H117" s="203" t="n"/>
      <c r="I117" s="204" t="n"/>
      <c r="J117" s="172" t="n"/>
      <c r="K117" s="172" t="n"/>
      <c r="L117" s="172" t="n"/>
      <c r="M117" s="172" t="n"/>
      <c r="N117" s="172" t="n"/>
      <c r="O117" s="172" t="n"/>
      <c r="P117" s="172" t="n"/>
      <c r="Q117" s="172" t="n"/>
      <c r="R117" s="172" t="n"/>
      <c r="S117" s="172" t="n"/>
      <c r="T117" s="172" t="n"/>
      <c r="U117" s="172" t="n"/>
    </row>
    <row r="118" ht="18" customHeight="1" s="163">
      <c r="A118" s="172" t="n"/>
      <c r="B118" s="210" t="inlineStr">
        <is>
          <t>→  Column G (Annual Total)</t>
        </is>
      </c>
      <c r="C118" s="204" t="n"/>
      <c r="D118" s="208" t="inlineStr">
        <is>
          <t>Auto-calculated — do not enter here. Sum of all frequency columns × multiplier</t>
        </is>
      </c>
      <c r="E118" s="203" t="n"/>
      <c r="F118" s="203" t="n"/>
      <c r="G118" s="203" t="n"/>
      <c r="H118" s="203" t="n"/>
      <c r="I118" s="204" t="n"/>
      <c r="J118" s="172" t="n"/>
      <c r="K118" s="172" t="n"/>
      <c r="L118" s="172" t="n"/>
      <c r="M118" s="172" t="n"/>
      <c r="N118" s="172" t="n"/>
      <c r="O118" s="172" t="n"/>
      <c r="P118" s="172" t="n"/>
      <c r="Q118" s="172" t="n"/>
      <c r="R118" s="172" t="n"/>
      <c r="S118" s="172" t="n"/>
      <c r="T118" s="172" t="n"/>
      <c r="U118" s="172" t="n"/>
    </row>
    <row r="119" ht="18" customHeight="1" s="163">
      <c r="A119" s="172" t="n"/>
      <c r="B119" s="302" t="inlineStr">
        <is>
          <t>→  Right side (Cols I–N)</t>
        </is>
      </c>
      <c r="C119" s="204" t="n"/>
      <c r="D119" s="206" t="inlineStr">
        <is>
          <t>Entertainment breakdown per person — separate to household expenses</t>
        </is>
      </c>
      <c r="E119" s="203" t="n"/>
      <c r="F119" s="203" t="n"/>
      <c r="G119" s="203" t="n"/>
      <c r="H119" s="203" t="n"/>
      <c r="I119" s="204" t="n"/>
      <c r="J119" s="172" t="n"/>
      <c r="K119" s="172" t="n"/>
      <c r="L119" s="172" t="n"/>
      <c r="M119" s="172" t="n"/>
      <c r="N119" s="172" t="n"/>
      <c r="O119" s="172" t="n"/>
      <c r="P119" s="172" t="n"/>
      <c r="Q119" s="172" t="n"/>
      <c r="R119" s="172" t="n"/>
      <c r="S119" s="172" t="n"/>
      <c r="T119" s="172" t="n"/>
      <c r="U119" s="172" t="n"/>
    </row>
    <row r="120" ht="18" customHeight="1" s="163">
      <c r="A120" s="172" t="n"/>
      <c r="B120" s="207" t="inlineStr">
        <is>
          <t>💡 Tip</t>
        </is>
      </c>
      <c r="C120" s="204" t="n"/>
      <c r="D120" s="208" t="inlineStr">
        <is>
          <t>Start with Groceries and Vehicle expenses first — these are usually the biggest surprises.</t>
        </is>
      </c>
      <c r="E120" s="203" t="n"/>
      <c r="F120" s="203" t="n"/>
      <c r="G120" s="203" t="n"/>
      <c r="H120" s="203" t="n"/>
      <c r="I120" s="204" t="n"/>
      <c r="J120" s="172" t="n"/>
      <c r="K120" s="172" t="n"/>
      <c r="L120" s="172" t="n"/>
      <c r="M120" s="172" t="n"/>
      <c r="N120" s="172" t="n"/>
      <c r="O120" s="172" t="n"/>
      <c r="P120" s="172" t="n"/>
      <c r="Q120" s="172" t="n"/>
      <c r="R120" s="172" t="n"/>
      <c r="S120" s="172" t="n"/>
      <c r="T120" s="172" t="n"/>
      <c r="U120" s="172" t="n"/>
    </row>
    <row r="121">
      <c r="A121" s="172" t="n"/>
      <c r="B121" s="172" t="n"/>
      <c r="C121" s="172" t="n"/>
      <c r="D121" s="172" t="n"/>
      <c r="E121" s="172" t="n"/>
      <c r="F121" s="172" t="n"/>
      <c r="G121" s="172" t="n"/>
      <c r="H121" s="172" t="n"/>
      <c r="I121" s="172" t="n"/>
      <c r="J121" s="172" t="n"/>
      <c r="K121" s="172" t="n"/>
      <c r="L121" s="172" t="n"/>
      <c r="M121" s="172" t="n"/>
      <c r="N121" s="172" t="n"/>
      <c r="O121" s="172" t="n"/>
      <c r="P121" s="172" t="n"/>
      <c r="Q121" s="172" t="n"/>
      <c r="R121" s="172" t="n"/>
      <c r="S121" s="172" t="n"/>
      <c r="T121" s="172" t="n"/>
      <c r="U121" s="172" t="n"/>
    </row>
    <row r="122" ht="1.5" customHeight="1" s="163">
      <c r="A122" s="172" t="n"/>
      <c r="B122" s="217" t="n"/>
      <c r="C122" s="217" t="n"/>
      <c r="D122" s="217" t="n"/>
      <c r="E122" s="217" t="n"/>
      <c r="F122" s="217" t="n"/>
      <c r="G122" s="217" t="n"/>
      <c r="H122" s="217" t="n"/>
      <c r="I122" s="217" t="n"/>
      <c r="J122" s="217" t="n"/>
      <c r="K122" s="217" t="n"/>
      <c r="L122" s="217" t="n"/>
      <c r="M122" s="217" t="n"/>
      <c r="N122" s="217" t="n"/>
      <c r="O122" s="172" t="n"/>
      <c r="P122" s="172" t="n"/>
      <c r="Q122" s="172" t="n"/>
      <c r="R122" s="172" t="n"/>
      <c r="S122" s="172" t="n"/>
      <c r="T122" s="172" t="n"/>
      <c r="U122" s="172" t="n"/>
    </row>
    <row r="123" ht="18" customHeight="1" s="163">
      <c r="A123" s="172" t="n"/>
      <c r="B123" s="218">
        <f>"Prepared by Baobab Consulting  ·  Commercial in Confidence — "&amp;FamilyName&amp;" Group  ·  FY "&amp;FYYear</f>
        <v/>
      </c>
      <c r="C123" s="172" t="n"/>
      <c r="D123" s="172" t="n"/>
      <c r="E123" s="172" t="n"/>
      <c r="F123" s="172" t="n"/>
      <c r="G123" s="172" t="n"/>
      <c r="H123" s="172" t="n"/>
      <c r="I123" s="172" t="n"/>
      <c r="J123" s="172" t="n"/>
      <c r="K123" s="172" t="n"/>
      <c r="L123" s="172" t="n"/>
      <c r="M123" s="172" t="n"/>
      <c r="N123" s="172" t="n"/>
      <c r="O123" s="172" t="n"/>
      <c r="P123" s="172" t="n"/>
      <c r="Q123" s="172" t="n"/>
      <c r="R123" s="172" t="n"/>
      <c r="S123" s="172" t="n"/>
      <c r="T123" s="172" t="n"/>
      <c r="U123" s="172" t="n"/>
    </row>
  </sheetData>
  <mergeCells count="42">
    <mergeCell ref="D120:I120"/>
    <mergeCell ref="C1:Q1"/>
    <mergeCell ref="D116:I116"/>
    <mergeCell ref="B57:G57"/>
    <mergeCell ref="B115:C115"/>
    <mergeCell ref="B44:G44"/>
    <mergeCell ref="B82:G82"/>
    <mergeCell ref="B87:G87"/>
    <mergeCell ref="B103:G103"/>
    <mergeCell ref="B123:N123"/>
    <mergeCell ref="B10:G10"/>
    <mergeCell ref="I33:N33"/>
    <mergeCell ref="C2:Q2"/>
    <mergeCell ref="I5:N5"/>
    <mergeCell ref="B108:G108"/>
    <mergeCell ref="B117:C117"/>
    <mergeCell ref="I14:N14"/>
    <mergeCell ref="B120:C120"/>
    <mergeCell ref="I23:N23"/>
    <mergeCell ref="D118:I118"/>
    <mergeCell ref="D114:I114"/>
    <mergeCell ref="B74:G74"/>
    <mergeCell ref="B30:G30"/>
    <mergeCell ref="B3:Q3"/>
    <mergeCell ref="B119:C119"/>
    <mergeCell ref="B24:G24"/>
    <mergeCell ref="D117:I117"/>
    <mergeCell ref="B20:G20"/>
    <mergeCell ref="B116:C116"/>
    <mergeCell ref="D113:I113"/>
    <mergeCell ref="B5:G5"/>
    <mergeCell ref="B36:G36"/>
    <mergeCell ref="B112:I112"/>
    <mergeCell ref="B97:G97"/>
    <mergeCell ref="B118:C118"/>
    <mergeCell ref="D115:I115"/>
    <mergeCell ref="B91:G91"/>
    <mergeCell ref="D119:I119"/>
    <mergeCell ref="B66:G66"/>
    <mergeCell ref="B114:C114"/>
    <mergeCell ref="B52:G52"/>
    <mergeCell ref="B113:C113"/>
  </mergeCells>
  <printOptions horizontalCentered="0" verticalCentered="0" headings="0" gridLines="0" gridLinesSet="1"/>
  <pageMargins left="0.75" right="0.75" top="1" bottom="1" header="0.511805555555556" footer="0.511805555555556"/>
  <pageSetup orientation="portrait" paperSize="9" scale="100" fitToHeight="1" fitToWidth="1" pageOrder="downThenOver" blackAndWhite="0" draft="0" horizontalDpi="300" verticalDpi="300" copies="1"/>
  <headerFooter differentOddEven="0" differentFirst="0">
    <oddHeader>&amp;L&amp;"Calibri,Bold"&amp;9 Baobab Consulting  ·  CONFIDENTIAL&amp;R&amp;8 Page &amp;P of &amp;N  ·  FY &amp;D</oddHeader>
    <oddFooter>&amp;C&amp;"Calibri,Italic"&amp;7 © Baobab Group of Companies (Baobab CFO Pty Ltd Baobab Consulting). No unauthorised use or reproduction without prior written permission.</oddFooter>
    <evenHeader/>
    <evenFooter/>
    <firstHeader/>
    <firstFooter/>
  </headerFooter>
  <drawing xmlns:r="http://schemas.openxmlformats.org/officeDocument/2006/relationships" r:id="rId1"/>
</worksheet>
</file>

<file path=xl/worksheets/sheet7.xml><?xml version="1.0" encoding="utf-8"?>
<worksheet xmlns="http://schemas.openxmlformats.org/spreadsheetml/2006/main">
  <sheetPr filterMode="0">
    <outlinePr summaryBelow="1" summaryRight="1"/>
    <pageSetUpPr fitToPage="0"/>
  </sheetPr>
  <dimension ref="A1:V74"/>
  <sheetViews>
    <sheetView showFormulas="0" showGridLines="0" showRowColHeaders="1" showZeros="1" rightToLeft="0" tabSelected="0" showOutlineSymbols="1" defaultGridColor="1" view="normal" topLeftCell="A1" colorId="64" zoomScale="100" zoomScaleNormal="100" zoomScalePageLayoutView="100" workbookViewId="0">
      <pane xSplit="2" ySplit="4" topLeftCell="C59" activePane="bottomRight" state="frozen"/>
      <selection pane="topLeft" activeCell="A1" activeCellId="0" sqref="A1"/>
      <selection pane="topRight" activeCell="C1" activeCellId="0" sqref="C1"/>
      <selection pane="bottomLeft" activeCell="A59" activeCellId="0" sqref="A59"/>
      <selection pane="bottomRight" activeCell="A1" activeCellId="0" sqref="A1"/>
    </sheetView>
  </sheetViews>
  <sheetFormatPr baseColWidth="8" defaultColWidth="8.71484375" defaultRowHeight="15" zeroHeight="0" outlineLevelRow="0"/>
  <cols>
    <col width="2" customWidth="1" style="162" min="1" max="1"/>
    <col width="30" customWidth="1" style="162" min="2" max="2"/>
    <col width="10" customWidth="1" style="162" min="3" max="14"/>
    <col width="13" customWidth="1" style="162" min="15" max="15"/>
  </cols>
  <sheetData>
    <row r="1" ht="90" customHeight="1" s="163">
      <c r="A1" s="179" t="n"/>
      <c r="B1" s="179" t="n"/>
      <c r="C1" s="180">
        <f>FamilyName&amp;" Group — 12-Month Cashflow Calendar"</f>
        <v/>
      </c>
      <c r="D1" s="168" t="n"/>
      <c r="E1" s="168" t="n"/>
      <c r="F1" s="168" t="n"/>
      <c r="G1" s="168" t="n"/>
      <c r="H1" s="168" t="n"/>
      <c r="I1" s="168" t="n"/>
      <c r="J1" s="168" t="n"/>
      <c r="K1" s="168" t="n"/>
      <c r="L1" s="168" t="n"/>
      <c r="M1" s="168" t="n"/>
      <c r="N1" s="168" t="n"/>
      <c r="O1" s="168" t="n"/>
      <c r="P1" s="168" t="n"/>
      <c r="Q1" s="168" t="n"/>
      <c r="R1" s="168" t="n"/>
      <c r="S1" s="179" t="n"/>
      <c r="T1" s="179" t="n"/>
      <c r="U1" s="179" t="n"/>
      <c r="V1" s="181" t="n"/>
    </row>
    <row r="2" ht="18" customHeight="1" s="163">
      <c r="A2" s="182" t="n"/>
      <c r="B2" s="182" t="n"/>
      <c r="C2" s="183">
        <f>"FY "&amp;FYYear&amp;"  ·  Baobab Consulting  ·  Confidential"</f>
        <v/>
      </c>
      <c r="D2" s="170" t="n"/>
      <c r="E2" s="170" t="n"/>
      <c r="F2" s="170" t="n"/>
      <c r="G2" s="170" t="n"/>
      <c r="H2" s="170" t="n"/>
      <c r="I2" s="170" t="n"/>
      <c r="J2" s="170" t="n"/>
      <c r="K2" s="170" t="n"/>
      <c r="L2" s="170" t="n"/>
      <c r="M2" s="170" t="n"/>
      <c r="N2" s="170" t="n"/>
      <c r="O2" s="170" t="n"/>
      <c r="P2" s="170" t="n"/>
      <c r="Q2" s="170" t="n"/>
      <c r="R2" s="170" t="n"/>
      <c r="S2" s="182" t="n"/>
      <c r="T2" s="182" t="n"/>
      <c r="U2" s="182" t="n"/>
      <c r="V2" s="181" t="n"/>
    </row>
    <row r="3" ht="13.5" customHeight="1" s="163">
      <c r="A3" s="184" t="n"/>
      <c r="B3" s="171" t="inlineStr">
        <is>
          <t>© Baobab Group of Companies (incl. Baobab CFO Pty Ltd &amp; Baobab Consulting). No unauthorised use or reproduction without prior written permission.</t>
        </is>
      </c>
      <c r="C3" s="172" t="n"/>
      <c r="D3" s="172" t="n"/>
      <c r="E3" s="172" t="n"/>
      <c r="F3" s="172" t="n"/>
      <c r="G3" s="172" t="n"/>
      <c r="H3" s="172" t="n"/>
      <c r="I3" s="172" t="n"/>
      <c r="J3" s="172" t="n"/>
      <c r="K3" s="172" t="n"/>
      <c r="L3" s="172" t="n"/>
      <c r="M3" s="172" t="n"/>
      <c r="N3" s="172" t="n"/>
      <c r="O3" s="172" t="n"/>
      <c r="P3" s="172" t="n"/>
      <c r="Q3" s="172" t="n"/>
      <c r="R3" s="172" t="n"/>
      <c r="S3" s="184" t="n"/>
      <c r="T3" s="184" t="n"/>
      <c r="U3" s="184" t="n"/>
      <c r="V3" s="181" t="n"/>
    </row>
    <row r="4" ht="36" customHeight="1" s="163">
      <c r="A4" s="172" t="n"/>
      <c r="B4" s="253" t="inlineStr">
        <is>
          <t>INCOME</t>
        </is>
      </c>
      <c r="C4" s="253" t="inlineStr">
        <is>
          <t>Jan</t>
        </is>
      </c>
      <c r="D4" s="253" t="inlineStr">
        <is>
          <t>Feb</t>
        </is>
      </c>
      <c r="E4" s="253" t="inlineStr">
        <is>
          <t>Mar</t>
        </is>
      </c>
      <c r="F4" s="253" t="inlineStr">
        <is>
          <t>Apr</t>
        </is>
      </c>
      <c r="G4" s="253" t="inlineStr">
        <is>
          <t>May</t>
        </is>
      </c>
      <c r="H4" s="253" t="inlineStr">
        <is>
          <t>Jun</t>
        </is>
      </c>
      <c r="I4" s="253" t="inlineStr">
        <is>
          <t>Jul</t>
        </is>
      </c>
      <c r="J4" s="253" t="inlineStr">
        <is>
          <t>Aug</t>
        </is>
      </c>
      <c r="K4" s="253" t="inlineStr">
        <is>
          <t>Sep</t>
        </is>
      </c>
      <c r="L4" s="253" t="inlineStr">
        <is>
          <t>Oct</t>
        </is>
      </c>
      <c r="M4" s="253" t="inlineStr">
        <is>
          <t>Nov</t>
        </is>
      </c>
      <c r="N4" s="253" t="inlineStr">
        <is>
          <t>Dec</t>
        </is>
      </c>
      <c r="O4" s="253" t="inlineStr">
        <is>
          <t>ANNUAL
TOTAL</t>
        </is>
      </c>
      <c r="P4" s="172" t="n"/>
      <c r="Q4" s="172" t="n"/>
      <c r="R4" s="172" t="n"/>
      <c r="S4" s="172" t="n"/>
      <c r="T4" s="172" t="n"/>
      <c r="U4" s="172" t="n"/>
      <c r="V4" s="172" t="n"/>
    </row>
    <row r="5" ht="18" customHeight="1" s="163">
      <c r="A5" s="172" t="n"/>
      <c r="B5" s="194">
        <f>"Salary — "&amp;Person1</f>
        <v/>
      </c>
      <c r="C5" s="303">
        <f>'💰 Income Planning'!D22</f>
        <v/>
      </c>
      <c r="D5" s="303">
        <f>'💰 Income Planning'!D22</f>
        <v/>
      </c>
      <c r="E5" s="303">
        <f>'💰 Income Planning'!D22</f>
        <v/>
      </c>
      <c r="F5" s="303">
        <f>'💰 Income Planning'!D22</f>
        <v/>
      </c>
      <c r="G5" s="303">
        <f>'💰 Income Planning'!D22</f>
        <v/>
      </c>
      <c r="H5" s="303">
        <f>'💰 Income Planning'!D22</f>
        <v/>
      </c>
      <c r="I5" s="303">
        <f>'💰 Income Planning'!D22</f>
        <v/>
      </c>
      <c r="J5" s="303">
        <f>'💰 Income Planning'!D22</f>
        <v/>
      </c>
      <c r="K5" s="303">
        <f>'💰 Income Planning'!D22</f>
        <v/>
      </c>
      <c r="L5" s="303">
        <f>'💰 Income Planning'!D22</f>
        <v/>
      </c>
      <c r="M5" s="303">
        <f>'💰 Income Planning'!D22</f>
        <v/>
      </c>
      <c r="N5" s="303">
        <f>'💰 Income Planning'!D22</f>
        <v/>
      </c>
      <c r="O5" s="243">
        <f>'💰 Income Planning'!D22*12</f>
        <v/>
      </c>
      <c r="P5" s="172" t="n"/>
      <c r="Q5" s="172" t="n"/>
      <c r="R5" s="172" t="n"/>
      <c r="S5" s="172" t="n"/>
      <c r="T5" s="172" t="n"/>
      <c r="U5" s="172" t="n"/>
      <c r="V5" s="172" t="n"/>
    </row>
    <row r="6" ht="18" customHeight="1" s="163">
      <c r="A6" s="172" t="n"/>
      <c r="B6" s="191">
        <f>"Salary — "&amp;Person2</f>
        <v/>
      </c>
      <c r="C6" s="303">
        <f>'💰 Income Planning'!E22</f>
        <v/>
      </c>
      <c r="D6" s="303">
        <f>'💰 Income Planning'!E22</f>
        <v/>
      </c>
      <c r="E6" s="303">
        <f>'💰 Income Planning'!E22</f>
        <v/>
      </c>
      <c r="F6" s="303">
        <f>'💰 Income Planning'!E22</f>
        <v/>
      </c>
      <c r="G6" s="303">
        <f>'💰 Income Planning'!E22</f>
        <v/>
      </c>
      <c r="H6" s="303">
        <f>'💰 Income Planning'!E22</f>
        <v/>
      </c>
      <c r="I6" s="303">
        <f>'💰 Income Planning'!E22</f>
        <v/>
      </c>
      <c r="J6" s="303">
        <f>'💰 Income Planning'!E22</f>
        <v/>
      </c>
      <c r="K6" s="303">
        <f>'💰 Income Planning'!E22</f>
        <v/>
      </c>
      <c r="L6" s="303">
        <f>'💰 Income Planning'!E22</f>
        <v/>
      </c>
      <c r="M6" s="303">
        <f>'💰 Income Planning'!E22</f>
        <v/>
      </c>
      <c r="N6" s="303">
        <f>'💰 Income Planning'!E22</f>
        <v/>
      </c>
      <c r="O6" s="243">
        <f>'💰 Income Planning'!E22*12</f>
        <v/>
      </c>
      <c r="P6" s="172" t="n"/>
      <c r="Q6" s="172" t="n"/>
      <c r="R6" s="172" t="n"/>
      <c r="S6" s="172" t="n"/>
      <c r="T6" s="172" t="n"/>
      <c r="U6" s="172" t="n"/>
      <c r="V6" s="172" t="n"/>
    </row>
    <row r="7" ht="18" customHeight="1" s="163">
      <c r="A7" s="172" t="n"/>
      <c r="B7" s="245" t="inlineStr">
        <is>
          <t xml:space="preserve">  Trust Distributions</t>
        </is>
      </c>
      <c r="C7" s="303">
        <f>'💰 Income Planning'!F10</f>
        <v/>
      </c>
      <c r="D7" s="303">
        <f>'💰 Income Planning'!F10</f>
        <v/>
      </c>
      <c r="E7" s="303">
        <f>'💰 Income Planning'!F10</f>
        <v/>
      </c>
      <c r="F7" s="303">
        <f>'💰 Income Planning'!F10</f>
        <v/>
      </c>
      <c r="G7" s="303">
        <f>'💰 Income Planning'!F10</f>
        <v/>
      </c>
      <c r="H7" s="303">
        <f>'💰 Income Planning'!F10</f>
        <v/>
      </c>
      <c r="I7" s="303">
        <f>'💰 Income Planning'!F10</f>
        <v/>
      </c>
      <c r="J7" s="303">
        <f>'💰 Income Planning'!F10</f>
        <v/>
      </c>
      <c r="K7" s="303">
        <f>'💰 Income Planning'!F10</f>
        <v/>
      </c>
      <c r="L7" s="303">
        <f>'💰 Income Planning'!F10</f>
        <v/>
      </c>
      <c r="M7" s="303">
        <f>'💰 Income Planning'!F10</f>
        <v/>
      </c>
      <c r="N7" s="303">
        <f>'💰 Income Planning'!F10</f>
        <v/>
      </c>
      <c r="O7" s="243">
        <f>'💰 Income Planning'!F10*12</f>
        <v/>
      </c>
      <c r="P7" s="172" t="n"/>
      <c r="Q7" s="172" t="n"/>
      <c r="R7" s="172" t="n"/>
      <c r="S7" s="172" t="n"/>
      <c r="T7" s="172" t="n"/>
      <c r="U7" s="172" t="n"/>
      <c r="V7" s="172" t="n"/>
    </row>
    <row r="8" ht="18" customHeight="1" s="163">
      <c r="A8" s="172" t="n"/>
      <c r="B8" s="191" t="inlineStr">
        <is>
          <t xml:space="preserve">  Consulting Income</t>
        </is>
      </c>
      <c r="C8" s="303">
        <f>'💰 Income Planning'!F16</f>
        <v/>
      </c>
      <c r="D8" s="303">
        <f>'💰 Income Planning'!F16</f>
        <v/>
      </c>
      <c r="E8" s="303">
        <f>'💰 Income Planning'!F16</f>
        <v/>
      </c>
      <c r="F8" s="303">
        <f>'💰 Income Planning'!F16</f>
        <v/>
      </c>
      <c r="G8" s="303">
        <f>'💰 Income Planning'!F16</f>
        <v/>
      </c>
      <c r="H8" s="303">
        <f>'💰 Income Planning'!F16</f>
        <v/>
      </c>
      <c r="I8" s="303">
        <f>'💰 Income Planning'!F16</f>
        <v/>
      </c>
      <c r="J8" s="303">
        <f>'💰 Income Planning'!F16</f>
        <v/>
      </c>
      <c r="K8" s="303">
        <f>'💰 Income Planning'!F16</f>
        <v/>
      </c>
      <c r="L8" s="303">
        <f>'💰 Income Planning'!F16</f>
        <v/>
      </c>
      <c r="M8" s="303">
        <f>'💰 Income Planning'!F16</f>
        <v/>
      </c>
      <c r="N8" s="303">
        <f>'💰 Income Planning'!F16</f>
        <v/>
      </c>
      <c r="O8" s="243">
        <f>'💰 Income Planning'!F16*12</f>
        <v/>
      </c>
      <c r="P8" s="172" t="n"/>
      <c r="Q8" s="172" t="n"/>
      <c r="R8" s="172" t="n"/>
      <c r="S8" s="172" t="n"/>
      <c r="T8" s="172" t="n"/>
      <c r="U8" s="172" t="n"/>
      <c r="V8" s="172" t="n"/>
    </row>
    <row r="9" ht="18" customHeight="1" s="163">
      <c r="A9" s="172" t="n"/>
      <c r="B9" s="245" t="inlineStr">
        <is>
          <t xml:space="preserve">  Rental Income (net)</t>
        </is>
      </c>
      <c r="C9" s="303">
        <f>'🏘 Rental Properties'!O11/12</f>
        <v/>
      </c>
      <c r="D9" s="303">
        <f>'🏘 Rental Properties'!O11/12</f>
        <v/>
      </c>
      <c r="E9" s="303">
        <f>'🏘 Rental Properties'!O11/12</f>
        <v/>
      </c>
      <c r="F9" s="303">
        <f>'🏘 Rental Properties'!O11/12</f>
        <v/>
      </c>
      <c r="G9" s="303">
        <f>'🏘 Rental Properties'!O11/12</f>
        <v/>
      </c>
      <c r="H9" s="303">
        <f>'🏘 Rental Properties'!O11/12</f>
        <v/>
      </c>
      <c r="I9" s="303">
        <f>'🏘 Rental Properties'!O11/12</f>
        <v/>
      </c>
      <c r="J9" s="303">
        <f>'🏘 Rental Properties'!O11/12</f>
        <v/>
      </c>
      <c r="K9" s="303">
        <f>'🏘 Rental Properties'!O11/12</f>
        <v/>
      </c>
      <c r="L9" s="303">
        <f>'🏘 Rental Properties'!O11/12</f>
        <v/>
      </c>
      <c r="M9" s="303">
        <f>'🏘 Rental Properties'!O11/12</f>
        <v/>
      </c>
      <c r="N9" s="303">
        <f>'🏘 Rental Properties'!O11/12</f>
        <v/>
      </c>
      <c r="O9" s="243">
        <f>'🏘 Rental Properties'!O11</f>
        <v/>
      </c>
      <c r="P9" s="172" t="n"/>
      <c r="Q9" s="172" t="n"/>
      <c r="R9" s="172" t="n"/>
      <c r="S9" s="172" t="n"/>
      <c r="T9" s="172" t="n"/>
      <c r="U9" s="172" t="n"/>
      <c r="V9" s="172" t="n"/>
    </row>
    <row r="10" ht="18" customHeight="1" s="163">
      <c r="A10" s="172" t="n"/>
      <c r="B10" s="200" t="inlineStr">
        <is>
          <t xml:space="preserve">  Dividends / Investment</t>
        </is>
      </c>
      <c r="C10" s="303">
        <f>'💰 Income Planning'!F28</f>
        <v/>
      </c>
      <c r="D10" s="303">
        <f>'💰 Income Planning'!F28</f>
        <v/>
      </c>
      <c r="E10" s="303">
        <f>'💰 Income Planning'!F28</f>
        <v/>
      </c>
      <c r="F10" s="303">
        <f>'💰 Income Planning'!F28</f>
        <v/>
      </c>
      <c r="G10" s="303">
        <f>'💰 Income Planning'!F28</f>
        <v/>
      </c>
      <c r="H10" s="303">
        <f>'💰 Income Planning'!F28</f>
        <v/>
      </c>
      <c r="I10" s="303">
        <f>'💰 Income Planning'!F28</f>
        <v/>
      </c>
      <c r="J10" s="303">
        <f>'💰 Income Planning'!F28</f>
        <v/>
      </c>
      <c r="K10" s="303">
        <f>'💰 Income Planning'!F28</f>
        <v/>
      </c>
      <c r="L10" s="303">
        <f>'💰 Income Planning'!F28</f>
        <v/>
      </c>
      <c r="M10" s="303">
        <f>'💰 Income Planning'!F28</f>
        <v/>
      </c>
      <c r="N10" s="303">
        <f>'💰 Income Planning'!F28</f>
        <v/>
      </c>
      <c r="O10" s="243">
        <f>'💰 Income Planning'!F28*12</f>
        <v/>
      </c>
      <c r="P10" s="172" t="n"/>
      <c r="Q10" s="172" t="n"/>
      <c r="R10" s="172" t="n"/>
      <c r="S10" s="172" t="n"/>
      <c r="T10" s="172" t="n"/>
      <c r="U10" s="172" t="n"/>
      <c r="V10" s="172" t="n"/>
    </row>
    <row r="11" ht="18" customHeight="1" s="163">
      <c r="A11" s="172" t="n"/>
      <c r="B11" s="247" t="inlineStr">
        <is>
          <t xml:space="preserve">  Total — INCOME</t>
        </is>
      </c>
      <c r="C11" s="248">
        <f>SUM(C5:C10)</f>
        <v/>
      </c>
      <c r="D11" s="248">
        <f>SUM(D5:D10)</f>
        <v/>
      </c>
      <c r="E11" s="248">
        <f>SUM(E5:E10)</f>
        <v/>
      </c>
      <c r="F11" s="248">
        <f>SUM(F5:F10)</f>
        <v/>
      </c>
      <c r="G11" s="248">
        <f>SUM(G5:G10)</f>
        <v/>
      </c>
      <c r="H11" s="248">
        <f>SUM(H5:H10)</f>
        <v/>
      </c>
      <c r="I11" s="248">
        <f>SUM(I5:I10)</f>
        <v/>
      </c>
      <c r="J11" s="248">
        <f>SUM(J5:J10)</f>
        <v/>
      </c>
      <c r="K11" s="248">
        <f>SUM(K5:K10)</f>
        <v/>
      </c>
      <c r="L11" s="248">
        <f>SUM(L5:L10)</f>
        <v/>
      </c>
      <c r="M11" s="248">
        <f>SUM(M5:M10)</f>
        <v/>
      </c>
      <c r="N11" s="248">
        <f>SUM(N5:N10)</f>
        <v/>
      </c>
      <c r="O11" s="248">
        <f>SUM(O5:O10)</f>
        <v/>
      </c>
      <c r="P11" s="172" t="n"/>
      <c r="Q11" s="172" t="n"/>
      <c r="R11" s="172" t="n"/>
      <c r="S11" s="172" t="n"/>
      <c r="T11" s="172" t="n"/>
      <c r="U11" s="172" t="n"/>
      <c r="V11" s="172" t="n"/>
    </row>
    <row r="12" ht="21.75" customHeight="1" s="163">
      <c r="A12" s="172" t="n"/>
      <c r="B12" s="254" t="inlineStr">
        <is>
          <t>HOUSEHOLD EXPENSES</t>
        </is>
      </c>
      <c r="C12" s="304" t="n"/>
      <c r="D12" s="304" t="n"/>
      <c r="E12" s="304" t="n"/>
      <c r="F12" s="304" t="n"/>
      <c r="G12" s="304" t="n"/>
      <c r="H12" s="304" t="n"/>
      <c r="I12" s="304" t="n"/>
      <c r="J12" s="304" t="n"/>
      <c r="K12" s="304" t="n"/>
      <c r="L12" s="304" t="n"/>
      <c r="M12" s="304" t="n"/>
      <c r="N12" s="304" t="n"/>
      <c r="O12" s="304" t="n"/>
      <c r="P12" s="172" t="n"/>
      <c r="Q12" s="172" t="n"/>
      <c r="R12" s="172" t="n"/>
      <c r="S12" s="172" t="n"/>
      <c r="T12" s="172" t="n"/>
      <c r="U12" s="172" t="n"/>
      <c r="V12" s="172" t="n"/>
    </row>
    <row r="13" ht="18" customHeight="1" s="163">
      <c r="A13" s="172" t="n"/>
      <c r="B13" s="194" t="inlineStr">
        <is>
          <t xml:space="preserve">  Groceries &amp; Food</t>
        </is>
      </c>
      <c r="C13" s="303">
        <f>IF(CashflowLink="YES",'🏠 Household Expenditure'!G9/12,0)</f>
        <v/>
      </c>
      <c r="D13" s="303">
        <f>IF(CashflowLink="YES",'🏠 Household Expenditure'!G9/12,0)</f>
        <v/>
      </c>
      <c r="E13" s="303">
        <f>IF(CashflowLink="YES",'🏠 Household Expenditure'!G9/12,0)</f>
        <v/>
      </c>
      <c r="F13" s="303">
        <f>IF(CashflowLink="YES",'🏠 Household Expenditure'!G9/12,0)</f>
        <v/>
      </c>
      <c r="G13" s="303">
        <f>IF(CashflowLink="YES",'🏠 Household Expenditure'!G9/12,0)</f>
        <v/>
      </c>
      <c r="H13" s="303">
        <f>IF(CashflowLink="YES",'🏠 Household Expenditure'!G9/12,0)</f>
        <v/>
      </c>
      <c r="I13" s="303">
        <f>IF(CashflowLink="YES",'🏠 Household Expenditure'!G9/12,0)</f>
        <v/>
      </c>
      <c r="J13" s="303">
        <f>IF(CashflowLink="YES",'🏠 Household Expenditure'!G9/12,0)</f>
        <v/>
      </c>
      <c r="K13" s="303">
        <f>IF(CashflowLink="YES",'🏠 Household Expenditure'!G9/12,0)</f>
        <v/>
      </c>
      <c r="L13" s="303">
        <f>IF(CashflowLink="YES",'🏠 Household Expenditure'!G9/12,0)</f>
        <v/>
      </c>
      <c r="M13" s="303">
        <f>IF(CashflowLink="YES",'🏠 Household Expenditure'!G9/12,0)</f>
        <v/>
      </c>
      <c r="N13" s="303">
        <f>IF(CashflowLink="YES",'🏠 Household Expenditure'!G9/12,0)</f>
        <v/>
      </c>
      <c r="O13" s="243">
        <f>SUM(C13:N13)</f>
        <v/>
      </c>
      <c r="P13" s="172" t="n"/>
      <c r="Q13" s="172" t="n"/>
      <c r="R13" s="172" t="n"/>
      <c r="S13" s="172" t="n"/>
      <c r="T13" s="172" t="n"/>
      <c r="U13" s="172" t="n"/>
      <c r="V13" s="172" t="n"/>
    </row>
    <row r="14" ht="18" customHeight="1" s="163">
      <c r="A14" s="172" t="n"/>
      <c r="B14" s="200" t="inlineStr">
        <is>
          <t xml:space="preserve">  Utilities (electricity, gas, water)</t>
        </is>
      </c>
      <c r="C14" s="303">
        <f>IF(CashflowLink="YES",('🏠 Household Expenditure'!G19+'🏠 Household Expenditure'!G23)/12,0)</f>
        <v/>
      </c>
      <c r="D14" s="303">
        <f>IF(CashflowLink="YES",('🏠 Household Expenditure'!G19+'🏠 Household Expenditure'!G23)/12,0)</f>
        <v/>
      </c>
      <c r="E14" s="303">
        <f>IF(CashflowLink="YES",('🏠 Household Expenditure'!G19+'🏠 Household Expenditure'!G23)/12,0)</f>
        <v/>
      </c>
      <c r="F14" s="303">
        <f>IF(CashflowLink="YES",('🏠 Household Expenditure'!G19+'🏠 Household Expenditure'!G23)/12,0)</f>
        <v/>
      </c>
      <c r="G14" s="303">
        <f>IF(CashflowLink="YES",('🏠 Household Expenditure'!G19+'🏠 Household Expenditure'!G23)/12,0)</f>
        <v/>
      </c>
      <c r="H14" s="303">
        <f>IF(CashflowLink="YES",('🏠 Household Expenditure'!G19+'🏠 Household Expenditure'!G23)/12,0)</f>
        <v/>
      </c>
      <c r="I14" s="303">
        <f>IF(CashflowLink="YES",('🏠 Household Expenditure'!G19+'🏠 Household Expenditure'!G23)/12,0)</f>
        <v/>
      </c>
      <c r="J14" s="303">
        <f>IF(CashflowLink="YES",('🏠 Household Expenditure'!G19+'🏠 Household Expenditure'!G23)/12,0)</f>
        <v/>
      </c>
      <c r="K14" s="303">
        <f>IF(CashflowLink="YES",('🏠 Household Expenditure'!G19+'🏠 Household Expenditure'!G23)/12,0)</f>
        <v/>
      </c>
      <c r="L14" s="303">
        <f>IF(CashflowLink="YES",('🏠 Household Expenditure'!G19+'🏠 Household Expenditure'!G23)/12,0)</f>
        <v/>
      </c>
      <c r="M14" s="303">
        <f>IF(CashflowLink="YES",('🏠 Household Expenditure'!G19+'🏠 Household Expenditure'!G23)/12,0)</f>
        <v/>
      </c>
      <c r="N14" s="303">
        <f>IF(CashflowLink="YES",('🏠 Household Expenditure'!G19+'🏠 Household Expenditure'!G23)/12,0)</f>
        <v/>
      </c>
      <c r="O14" s="243">
        <f>SUM(C14:N14)</f>
        <v/>
      </c>
      <c r="P14" s="172" t="n"/>
      <c r="Q14" s="172" t="n"/>
      <c r="R14" s="172" t="n"/>
      <c r="S14" s="172" t="n"/>
      <c r="T14" s="172" t="n"/>
      <c r="U14" s="172" t="n"/>
      <c r="V14" s="172" t="n"/>
    </row>
    <row r="15" ht="18" customHeight="1" s="163">
      <c r="A15" s="172" t="n"/>
      <c r="B15" s="245" t="inlineStr">
        <is>
          <t xml:space="preserve">  Council Rates (usually quarterly)</t>
        </is>
      </c>
      <c r="C15" s="303">
        <f>IF(CashflowLink="YES",'🏠 Household Expenditure'!G29/12,0)</f>
        <v/>
      </c>
      <c r="D15" s="303">
        <f>IF(CashflowLink="YES",'🏠 Household Expenditure'!G29/12,0)</f>
        <v/>
      </c>
      <c r="E15" s="303">
        <f>IF(CashflowLink="YES",'🏠 Household Expenditure'!G29/12,0)</f>
        <v/>
      </c>
      <c r="F15" s="303">
        <f>IF(CashflowLink="YES",'🏠 Household Expenditure'!G29/12,0)</f>
        <v/>
      </c>
      <c r="G15" s="303">
        <f>IF(CashflowLink="YES",'🏠 Household Expenditure'!G29/12,0)</f>
        <v/>
      </c>
      <c r="H15" s="303">
        <f>IF(CashflowLink="YES",'🏠 Household Expenditure'!G29/12,0)</f>
        <v/>
      </c>
      <c r="I15" s="303">
        <f>IF(CashflowLink="YES",'🏠 Household Expenditure'!G29/12,0)</f>
        <v/>
      </c>
      <c r="J15" s="303">
        <f>IF(CashflowLink="YES",'🏠 Household Expenditure'!G29/12,0)</f>
        <v/>
      </c>
      <c r="K15" s="303">
        <f>IF(CashflowLink="YES",'🏠 Household Expenditure'!G29/12,0)</f>
        <v/>
      </c>
      <c r="L15" s="303">
        <f>IF(CashflowLink="YES",'🏠 Household Expenditure'!G29/12,0)</f>
        <v/>
      </c>
      <c r="M15" s="303">
        <f>IF(CashflowLink="YES",'🏠 Household Expenditure'!G29/12,0)</f>
        <v/>
      </c>
      <c r="N15" s="303">
        <f>IF(CashflowLink="YES",'🏠 Household Expenditure'!G29/12,0)</f>
        <v/>
      </c>
      <c r="O15" s="243">
        <f>SUM(C15:N15)</f>
        <v/>
      </c>
      <c r="P15" s="172" t="n"/>
      <c r="Q15" s="172" t="n"/>
      <c r="R15" s="172" t="n"/>
      <c r="S15" s="172" t="n"/>
      <c r="T15" s="172" t="n"/>
      <c r="U15" s="172" t="n"/>
      <c r="V15" s="172" t="n"/>
    </row>
    <row r="16" ht="18" customHeight="1" s="163">
      <c r="A16" s="172" t="n"/>
      <c r="B16" s="200" t="inlineStr">
        <is>
          <t xml:space="preserve">  Insurance — Home &amp; Car</t>
        </is>
      </c>
      <c r="C16" s="303">
        <f>IF(CashflowLink="YES",'🏠 Household Expenditure'!G65/12,0)</f>
        <v/>
      </c>
      <c r="D16" s="303">
        <f>IF(CashflowLink="YES",'🏠 Household Expenditure'!G65/12,0)</f>
        <v/>
      </c>
      <c r="E16" s="303">
        <f>IF(CashflowLink="YES",'🏠 Household Expenditure'!G65/12,0)</f>
        <v/>
      </c>
      <c r="F16" s="303">
        <f>IF(CashflowLink="YES",'🏠 Household Expenditure'!G65/12,0)</f>
        <v/>
      </c>
      <c r="G16" s="303">
        <f>IF(CashflowLink="YES",'🏠 Household Expenditure'!G65/12,0)</f>
        <v/>
      </c>
      <c r="H16" s="303">
        <f>IF(CashflowLink="YES",'🏠 Household Expenditure'!G65/12,0)</f>
        <v/>
      </c>
      <c r="I16" s="303">
        <f>IF(CashflowLink="YES",'🏠 Household Expenditure'!G65/12,0)</f>
        <v/>
      </c>
      <c r="J16" s="303">
        <f>IF(CashflowLink="YES",'🏠 Household Expenditure'!G65/12,0)</f>
        <v/>
      </c>
      <c r="K16" s="303">
        <f>IF(CashflowLink="YES",'🏠 Household Expenditure'!G65/12,0)</f>
        <v/>
      </c>
      <c r="L16" s="303">
        <f>IF(CashflowLink="YES",'🏠 Household Expenditure'!G65/12,0)</f>
        <v/>
      </c>
      <c r="M16" s="303">
        <f>IF(CashflowLink="YES",'🏠 Household Expenditure'!G65/12,0)</f>
        <v/>
      </c>
      <c r="N16" s="303">
        <f>IF(CashflowLink="YES",'🏠 Household Expenditure'!G65/12,0)</f>
        <v/>
      </c>
      <c r="O16" s="243">
        <f>SUM(C16:N16)</f>
        <v/>
      </c>
      <c r="P16" s="172" t="n"/>
      <c r="Q16" s="172" t="n"/>
      <c r="R16" s="172" t="n"/>
      <c r="S16" s="172" t="n"/>
      <c r="T16" s="172" t="n"/>
      <c r="U16" s="172" t="n"/>
      <c r="V16" s="172" t="n"/>
    </row>
    <row r="17" ht="18" customHeight="1" s="163">
      <c r="A17" s="172" t="n"/>
      <c r="B17" s="245" t="inlineStr">
        <is>
          <t xml:space="preserve">  Subscriptions &amp; Streaming</t>
        </is>
      </c>
      <c r="C17" s="303">
        <f>IF(CashflowLink="YES",'🏠 Household Expenditure'!G35/12,0)</f>
        <v/>
      </c>
      <c r="D17" s="303">
        <f>IF(CashflowLink="YES",'🏠 Household Expenditure'!G35/12,0)</f>
        <v/>
      </c>
      <c r="E17" s="303">
        <f>IF(CashflowLink="YES",'🏠 Household Expenditure'!G35/12,0)</f>
        <v/>
      </c>
      <c r="F17" s="303">
        <f>IF(CashflowLink="YES",'🏠 Household Expenditure'!G35/12,0)</f>
        <v/>
      </c>
      <c r="G17" s="303">
        <f>IF(CashflowLink="YES",'🏠 Household Expenditure'!G35/12,0)</f>
        <v/>
      </c>
      <c r="H17" s="303">
        <f>IF(CashflowLink="YES",'🏠 Household Expenditure'!G35/12,0)</f>
        <v/>
      </c>
      <c r="I17" s="303">
        <f>IF(CashflowLink="YES",'🏠 Household Expenditure'!G35/12,0)</f>
        <v/>
      </c>
      <c r="J17" s="303">
        <f>IF(CashflowLink="YES",'🏠 Household Expenditure'!G35/12,0)</f>
        <v/>
      </c>
      <c r="K17" s="303">
        <f>IF(CashflowLink="YES",'🏠 Household Expenditure'!G35/12,0)</f>
        <v/>
      </c>
      <c r="L17" s="303">
        <f>IF(CashflowLink="YES",'🏠 Household Expenditure'!G35/12,0)</f>
        <v/>
      </c>
      <c r="M17" s="303">
        <f>IF(CashflowLink="YES",'🏠 Household Expenditure'!G35/12,0)</f>
        <v/>
      </c>
      <c r="N17" s="303">
        <f>IF(CashflowLink="YES",'🏠 Household Expenditure'!G35/12,0)</f>
        <v/>
      </c>
      <c r="O17" s="243">
        <f>SUM(C17:N17)</f>
        <v/>
      </c>
      <c r="P17" s="172" t="n"/>
      <c r="Q17" s="172" t="n"/>
      <c r="R17" s="172" t="n"/>
      <c r="S17" s="172" t="n"/>
      <c r="T17" s="172" t="n"/>
      <c r="U17" s="172" t="n"/>
      <c r="V17" s="172" t="n"/>
    </row>
    <row r="18" ht="18" customHeight="1" s="163">
      <c r="A18" s="172" t="n"/>
      <c r="B18" s="259" t="inlineStr">
        <is>
          <t xml:space="preserve">  Total — HOUSEHOLD EXPENSES</t>
        </is>
      </c>
      <c r="C18" s="248">
        <f>SUM(C13:C17)</f>
        <v/>
      </c>
      <c r="D18" s="248">
        <f>SUM(D13:D17)</f>
        <v/>
      </c>
      <c r="E18" s="248">
        <f>SUM(E13:E17)</f>
        <v/>
      </c>
      <c r="F18" s="248">
        <f>SUM(F13:F17)</f>
        <v/>
      </c>
      <c r="G18" s="248">
        <f>SUM(G13:G17)</f>
        <v/>
      </c>
      <c r="H18" s="248">
        <f>SUM(H13:H17)</f>
        <v/>
      </c>
      <c r="I18" s="248">
        <f>SUM(I13:I17)</f>
        <v/>
      </c>
      <c r="J18" s="248">
        <f>SUM(J13:J17)</f>
        <v/>
      </c>
      <c r="K18" s="248">
        <f>SUM(K13:K17)</f>
        <v/>
      </c>
      <c r="L18" s="248">
        <f>SUM(L13:L17)</f>
        <v/>
      </c>
      <c r="M18" s="248">
        <f>SUM(M13:M17)</f>
        <v/>
      </c>
      <c r="N18" s="248">
        <f>SUM(N13:N17)</f>
        <v/>
      </c>
      <c r="O18" s="248">
        <f>SUM(O13:O17)</f>
        <v/>
      </c>
      <c r="P18" s="172" t="n"/>
      <c r="Q18" s="172" t="n"/>
      <c r="R18" s="172" t="n"/>
      <c r="S18" s="172" t="n"/>
      <c r="T18" s="172" t="n"/>
      <c r="U18" s="172" t="n"/>
      <c r="V18" s="172" t="n"/>
    </row>
    <row r="19" ht="21.75" customHeight="1" s="163">
      <c r="A19" s="172" t="n"/>
      <c r="B19" s="254" t="inlineStr">
        <is>
          <t>EDUCATION &amp; CHILDREN</t>
        </is>
      </c>
      <c r="C19" s="304" t="n"/>
      <c r="D19" s="304" t="n"/>
      <c r="E19" s="304" t="n"/>
      <c r="F19" s="304" t="n"/>
      <c r="G19" s="304" t="n"/>
      <c r="H19" s="304" t="n"/>
      <c r="I19" s="304" t="n"/>
      <c r="J19" s="304" t="n"/>
      <c r="K19" s="304" t="n"/>
      <c r="L19" s="304" t="n"/>
      <c r="M19" s="304" t="n"/>
      <c r="N19" s="304" t="n"/>
      <c r="O19" s="304" t="n"/>
      <c r="P19" s="172" t="n"/>
      <c r="Q19" s="172" t="n"/>
      <c r="R19" s="172" t="n"/>
      <c r="S19" s="172" t="n"/>
      <c r="T19" s="172" t="n"/>
      <c r="U19" s="172" t="n"/>
      <c r="V19" s="172" t="n"/>
    </row>
    <row r="20" ht="18" customHeight="1" s="163">
      <c r="A20" s="172" t="n"/>
      <c r="B20" s="200" t="inlineStr">
        <is>
          <t xml:space="preserve">  School Fees (Term 1)</t>
        </is>
      </c>
      <c r="C20" s="303">
        <f>IF(CashflowLink="YES",0,0)</f>
        <v/>
      </c>
      <c r="D20" s="303">
        <f>IF(CashflowLink="YES",'🏠 Household Expenditure'!G81*0.6/4,0)</f>
        <v/>
      </c>
      <c r="E20" s="303">
        <f>IF(CashflowLink="YES",0,0)</f>
        <v/>
      </c>
      <c r="F20" s="303">
        <f>IF(CashflowLink="YES",0,0)</f>
        <v/>
      </c>
      <c r="G20" s="303">
        <f>IF(CashflowLink="YES",0,0)</f>
        <v/>
      </c>
      <c r="H20" s="303">
        <f>IF(CashflowLink="YES",0,0)</f>
        <v/>
      </c>
      <c r="I20" s="303">
        <f>IF(CashflowLink="YES",0,0)</f>
        <v/>
      </c>
      <c r="J20" s="303">
        <f>IF(CashflowLink="YES",0,0)</f>
        <v/>
      </c>
      <c r="K20" s="303">
        <f>IF(CashflowLink="YES",0,0)</f>
        <v/>
      </c>
      <c r="L20" s="303">
        <f>IF(CashflowLink="YES",0,0)</f>
        <v/>
      </c>
      <c r="M20" s="303">
        <f>IF(CashflowLink="YES",0,0)</f>
        <v/>
      </c>
      <c r="N20" s="303">
        <f>IF(CashflowLink="YES",0,0)</f>
        <v/>
      </c>
      <c r="O20" s="243">
        <f>SUM(C20:N20)</f>
        <v/>
      </c>
      <c r="P20" s="172" t="n"/>
      <c r="Q20" s="172" t="n"/>
      <c r="R20" s="172" t="n"/>
      <c r="S20" s="172" t="n"/>
      <c r="T20" s="172" t="n"/>
      <c r="U20" s="172" t="n"/>
      <c r="V20" s="172" t="n"/>
    </row>
    <row r="21" ht="18" customHeight="1" s="163">
      <c r="A21" s="172" t="n"/>
      <c r="B21" s="245" t="inlineStr">
        <is>
          <t xml:space="preserve">  School Fees (Term 2)</t>
        </is>
      </c>
      <c r="C21" s="303">
        <f>IF(CashflowLink="YES",0,0)</f>
        <v/>
      </c>
      <c r="D21" s="303">
        <f>IF(CashflowLink="YES",0,0)</f>
        <v/>
      </c>
      <c r="E21" s="303">
        <f>IF(CashflowLink="YES",0,0)</f>
        <v/>
      </c>
      <c r="F21" s="303">
        <f>IF(CashflowLink="YES",0,0)</f>
        <v/>
      </c>
      <c r="G21" s="303">
        <f>IF(CashflowLink="YES",'🏠 Household Expenditure'!G81*0.6/4,0)</f>
        <v/>
      </c>
      <c r="H21" s="303">
        <f>IF(CashflowLink="YES",0,0)</f>
        <v/>
      </c>
      <c r="I21" s="303">
        <f>IF(CashflowLink="YES",0,0)</f>
        <v/>
      </c>
      <c r="J21" s="303">
        <f>IF(CashflowLink="YES",0,0)</f>
        <v/>
      </c>
      <c r="K21" s="303">
        <f>IF(CashflowLink="YES",0,0)</f>
        <v/>
      </c>
      <c r="L21" s="303">
        <f>IF(CashflowLink="YES",0,0)</f>
        <v/>
      </c>
      <c r="M21" s="303">
        <f>IF(CashflowLink="YES",0,0)</f>
        <v/>
      </c>
      <c r="N21" s="303">
        <f>IF(CashflowLink="YES",0,0)</f>
        <v/>
      </c>
      <c r="O21" s="243">
        <f>SUM(C21:N21)</f>
        <v/>
      </c>
      <c r="P21" s="172" t="n"/>
      <c r="Q21" s="172" t="n"/>
      <c r="R21" s="172" t="n"/>
      <c r="S21" s="172" t="n"/>
      <c r="T21" s="172" t="n"/>
      <c r="U21" s="172" t="n"/>
      <c r="V21" s="172" t="n"/>
    </row>
    <row r="22" ht="18" customHeight="1" s="163">
      <c r="A22" s="172" t="n"/>
      <c r="B22" s="200" t="inlineStr">
        <is>
          <t xml:space="preserve">  School Fees (Term 3)</t>
        </is>
      </c>
      <c r="C22" s="303">
        <f>IF(CashflowLink="YES",0,0)</f>
        <v/>
      </c>
      <c r="D22" s="303">
        <f>IF(CashflowLink="YES",0,0)</f>
        <v/>
      </c>
      <c r="E22" s="303">
        <f>IF(CashflowLink="YES",0,0)</f>
        <v/>
      </c>
      <c r="F22" s="303">
        <f>IF(CashflowLink="YES",0,0)</f>
        <v/>
      </c>
      <c r="G22" s="303">
        <f>IF(CashflowLink="YES",0,0)</f>
        <v/>
      </c>
      <c r="H22" s="303">
        <f>IF(CashflowLink="YES",0,0)</f>
        <v/>
      </c>
      <c r="I22" s="303">
        <f>IF(CashflowLink="YES",'🏠 Household Expenditure'!G81*0.6/4,0)</f>
        <v/>
      </c>
      <c r="J22" s="303">
        <f>IF(CashflowLink="YES",0,0)</f>
        <v/>
      </c>
      <c r="K22" s="303">
        <f>IF(CashflowLink="YES",0,0)</f>
        <v/>
      </c>
      <c r="L22" s="303">
        <f>IF(CashflowLink="YES",0,0)</f>
        <v/>
      </c>
      <c r="M22" s="303">
        <f>IF(CashflowLink="YES",0,0)</f>
        <v/>
      </c>
      <c r="N22" s="303">
        <f>IF(CashflowLink="YES",0,0)</f>
        <v/>
      </c>
      <c r="O22" s="243">
        <f>SUM(C22:N22)</f>
        <v/>
      </c>
      <c r="P22" s="172" t="n"/>
      <c r="Q22" s="172" t="n"/>
      <c r="R22" s="172" t="n"/>
      <c r="S22" s="172" t="n"/>
      <c r="T22" s="172" t="n"/>
      <c r="U22" s="172" t="n"/>
      <c r="V22" s="172" t="n"/>
    </row>
    <row r="23" ht="18" customHeight="1" s="163">
      <c r="A23" s="172" t="n"/>
      <c r="B23" s="245" t="inlineStr">
        <is>
          <t xml:space="preserve">  School Fees (Term 4)</t>
        </is>
      </c>
      <c r="C23" s="303">
        <f>IF(CashflowLink="YES",0,0)</f>
        <v/>
      </c>
      <c r="D23" s="303">
        <f>IF(CashflowLink="YES",0,0)</f>
        <v/>
      </c>
      <c r="E23" s="303">
        <f>IF(CashflowLink="YES",0,0)</f>
        <v/>
      </c>
      <c r="F23" s="303">
        <f>IF(CashflowLink="YES",0,0)</f>
        <v/>
      </c>
      <c r="G23" s="303">
        <f>IF(CashflowLink="YES",0,0)</f>
        <v/>
      </c>
      <c r="H23" s="303">
        <f>IF(CashflowLink="YES",0,0)</f>
        <v/>
      </c>
      <c r="I23" s="303">
        <f>IF(CashflowLink="YES",0,0)</f>
        <v/>
      </c>
      <c r="J23" s="303">
        <f>IF(CashflowLink="YES",0,0)</f>
        <v/>
      </c>
      <c r="K23" s="303">
        <f>IF(CashflowLink="YES",0,0)</f>
        <v/>
      </c>
      <c r="L23" s="303">
        <f>IF(CashflowLink="YES",'🏠 Household Expenditure'!G81*0.6/4,0)</f>
        <v/>
      </c>
      <c r="M23" s="303">
        <f>IF(CashflowLink="YES",0,0)</f>
        <v/>
      </c>
      <c r="N23" s="303">
        <f>IF(CashflowLink="YES",0,0)</f>
        <v/>
      </c>
      <c r="O23" s="243">
        <f>SUM(C23:N23)</f>
        <v/>
      </c>
      <c r="P23" s="172" t="n"/>
      <c r="Q23" s="172" t="n"/>
      <c r="R23" s="172" t="n"/>
      <c r="S23" s="172" t="n"/>
      <c r="T23" s="172" t="n"/>
      <c r="U23" s="172" t="n"/>
      <c r="V23" s="172" t="n"/>
    </row>
    <row r="24" ht="18" customHeight="1" s="163">
      <c r="A24" s="172" t="n"/>
      <c r="B24" s="191" t="inlineStr">
        <is>
          <t xml:space="preserve">  Uniforms &amp; Books</t>
        </is>
      </c>
      <c r="C24" s="303">
        <f>IF(CashflowLink="YES",'🏠 Household Expenditure'!G81*0.2/12,0)</f>
        <v/>
      </c>
      <c r="D24" s="303">
        <f>IF(CashflowLink="YES",'🏠 Household Expenditure'!G81*0.2/12,0)</f>
        <v/>
      </c>
      <c r="E24" s="303">
        <f>IF(CashflowLink="YES",'🏠 Household Expenditure'!G81*0.2/12,0)</f>
        <v/>
      </c>
      <c r="F24" s="303">
        <f>IF(CashflowLink="YES",'🏠 Household Expenditure'!G81*0.2/12,0)</f>
        <v/>
      </c>
      <c r="G24" s="303">
        <f>IF(CashflowLink="YES",'🏠 Household Expenditure'!G81*0.2/12,0)</f>
        <v/>
      </c>
      <c r="H24" s="303">
        <f>IF(CashflowLink="YES",'🏠 Household Expenditure'!G81*0.2/12,0)</f>
        <v/>
      </c>
      <c r="I24" s="303">
        <f>IF(CashflowLink="YES",'🏠 Household Expenditure'!G81*0.2/12,0)</f>
        <v/>
      </c>
      <c r="J24" s="303">
        <f>IF(CashflowLink="YES",'🏠 Household Expenditure'!G81*0.2/12,0)</f>
        <v/>
      </c>
      <c r="K24" s="303">
        <f>IF(CashflowLink="YES",'🏠 Household Expenditure'!G81*0.2/12,0)</f>
        <v/>
      </c>
      <c r="L24" s="303">
        <f>IF(CashflowLink="YES",'🏠 Household Expenditure'!G81*0.2/12,0)</f>
        <v/>
      </c>
      <c r="M24" s="303">
        <f>IF(CashflowLink="YES",'🏠 Household Expenditure'!G81*0.2/12,0)</f>
        <v/>
      </c>
      <c r="N24" s="303">
        <f>IF(CashflowLink="YES",'🏠 Household Expenditure'!G81*0.2/12,0)</f>
        <v/>
      </c>
      <c r="O24" s="243">
        <f>SUM(C24:N24)</f>
        <v/>
      </c>
      <c r="P24" s="172" t="n"/>
      <c r="Q24" s="172" t="n"/>
      <c r="R24" s="172" t="n"/>
      <c r="S24" s="172" t="n"/>
      <c r="T24" s="172" t="n"/>
      <c r="U24" s="172" t="n"/>
      <c r="V24" s="172" t="n"/>
    </row>
    <row r="25" ht="18" customHeight="1" s="163">
      <c r="A25" s="172" t="n"/>
      <c r="B25" s="194" t="inlineStr">
        <is>
          <t xml:space="preserve">  Sport &amp; Activities</t>
        </is>
      </c>
      <c r="C25" s="303">
        <f>IF(CashflowLink="YES",'🏠 Household Expenditure'!G81*0.2/12,0)</f>
        <v/>
      </c>
      <c r="D25" s="303">
        <f>IF(CashflowLink="YES",'🏠 Household Expenditure'!G81*0.2/12,0)</f>
        <v/>
      </c>
      <c r="E25" s="303">
        <f>IF(CashflowLink="YES",'🏠 Household Expenditure'!G81*0.2/12,0)</f>
        <v/>
      </c>
      <c r="F25" s="303">
        <f>IF(CashflowLink="YES",'🏠 Household Expenditure'!G81*0.2/12,0)</f>
        <v/>
      </c>
      <c r="G25" s="303">
        <f>IF(CashflowLink="YES",'🏠 Household Expenditure'!G81*0.2/12,0)</f>
        <v/>
      </c>
      <c r="H25" s="303">
        <f>IF(CashflowLink="YES",'🏠 Household Expenditure'!G81*0.2/12,0)</f>
        <v/>
      </c>
      <c r="I25" s="303">
        <f>IF(CashflowLink="YES",'🏠 Household Expenditure'!G81*0.2/12,0)</f>
        <v/>
      </c>
      <c r="J25" s="303">
        <f>IF(CashflowLink="YES",'🏠 Household Expenditure'!G81*0.2/12,0)</f>
        <v/>
      </c>
      <c r="K25" s="303">
        <f>IF(CashflowLink="YES",'🏠 Household Expenditure'!G81*0.2/12,0)</f>
        <v/>
      </c>
      <c r="L25" s="303">
        <f>IF(CashflowLink="YES",'🏠 Household Expenditure'!G81*0.2/12,0)</f>
        <v/>
      </c>
      <c r="M25" s="303">
        <f>IF(CashflowLink="YES",'🏠 Household Expenditure'!G81*0.2/12,0)</f>
        <v/>
      </c>
      <c r="N25" s="303">
        <f>IF(CashflowLink="YES",'🏠 Household Expenditure'!G81*0.2/12,0)</f>
        <v/>
      </c>
      <c r="O25" s="243">
        <f>SUM(C25:N25)</f>
        <v/>
      </c>
      <c r="P25" s="172" t="n"/>
      <c r="Q25" s="172" t="n"/>
      <c r="R25" s="172" t="n"/>
      <c r="S25" s="172" t="n"/>
      <c r="T25" s="172" t="n"/>
      <c r="U25" s="172" t="n"/>
      <c r="V25" s="172" t="n"/>
    </row>
    <row r="26" ht="18" customHeight="1" s="163">
      <c r="A26" s="172" t="n"/>
      <c r="B26" s="259" t="inlineStr">
        <is>
          <t xml:space="preserve">  Total — EDUCATION &amp; CHILDREN</t>
        </is>
      </c>
      <c r="C26" s="248">
        <f>SUM(C20:C25)</f>
        <v/>
      </c>
      <c r="D26" s="248">
        <f>SUM(D20:D25)</f>
        <v/>
      </c>
      <c r="E26" s="248">
        <f>SUM(E20:E25)</f>
        <v/>
      </c>
      <c r="F26" s="248">
        <f>SUM(F20:F25)</f>
        <v/>
      </c>
      <c r="G26" s="248">
        <f>SUM(G20:G25)</f>
        <v/>
      </c>
      <c r="H26" s="248">
        <f>SUM(H20:H25)</f>
        <v/>
      </c>
      <c r="I26" s="248">
        <f>SUM(I20:I25)</f>
        <v/>
      </c>
      <c r="J26" s="248">
        <f>SUM(J20:J25)</f>
        <v/>
      </c>
      <c r="K26" s="248">
        <f>SUM(K20:K25)</f>
        <v/>
      </c>
      <c r="L26" s="248">
        <f>SUM(L20:L25)</f>
        <v/>
      </c>
      <c r="M26" s="248">
        <f>SUM(M20:M25)</f>
        <v/>
      </c>
      <c r="N26" s="248">
        <f>SUM(N20:N25)</f>
        <v/>
      </c>
      <c r="O26" s="248">
        <f>SUM(O20:O25)</f>
        <v/>
      </c>
      <c r="P26" s="172" t="n"/>
      <c r="Q26" s="172" t="n"/>
      <c r="R26" s="172" t="n"/>
      <c r="S26" s="172" t="n"/>
      <c r="T26" s="172" t="n"/>
      <c r="U26" s="172" t="n"/>
      <c r="V26" s="172" t="n"/>
    </row>
    <row r="27" ht="21.75" customHeight="1" s="163">
      <c r="A27" s="172" t="n"/>
      <c r="B27" s="254" t="inlineStr">
        <is>
          <t>IRREGULAR / ONE-OFF EXPENSES</t>
        </is>
      </c>
      <c r="C27" s="304" t="n"/>
      <c r="D27" s="304" t="n"/>
      <c r="E27" s="304" t="n"/>
      <c r="F27" s="304" t="n"/>
      <c r="G27" s="304" t="n"/>
      <c r="H27" s="304" t="n"/>
      <c r="I27" s="304" t="n"/>
      <c r="J27" s="304" t="n"/>
      <c r="K27" s="304" t="n"/>
      <c r="L27" s="304" t="n"/>
      <c r="M27" s="304" t="n"/>
      <c r="N27" s="304" t="n"/>
      <c r="O27" s="304" t="n"/>
      <c r="P27" s="172" t="n"/>
      <c r="Q27" s="172" t="n"/>
      <c r="R27" s="172" t="n"/>
      <c r="S27" s="172" t="n"/>
      <c r="T27" s="172" t="n"/>
      <c r="U27" s="172" t="n"/>
      <c r="V27" s="172" t="n"/>
    </row>
    <row r="28" ht="18" customHeight="1" s="163">
      <c r="A28" s="172" t="n"/>
      <c r="B28" s="191" t="inlineStr">
        <is>
          <t xml:space="preserve">  Car Registration</t>
        </is>
      </c>
      <c r="C28" s="249" t="n">
        <v>0</v>
      </c>
      <c r="D28" s="249" t="n">
        <v>0</v>
      </c>
      <c r="E28" s="249" t="n">
        <v>0</v>
      </c>
      <c r="F28" s="249" t="n">
        <v>0</v>
      </c>
      <c r="G28" s="249" t="n">
        <v>0</v>
      </c>
      <c r="H28" s="249" t="n">
        <v>0</v>
      </c>
      <c r="I28" s="249" t="n">
        <v>0</v>
      </c>
      <c r="J28" s="249" t="n">
        <v>0</v>
      </c>
      <c r="K28" s="249" t="n">
        <v>0</v>
      </c>
      <c r="L28" s="249" t="n">
        <v>0</v>
      </c>
      <c r="M28" s="249" t="n">
        <v>0</v>
      </c>
      <c r="N28" s="249" t="n">
        <v>0</v>
      </c>
      <c r="O28" s="243">
        <f>SUM(C28:N28)</f>
        <v/>
      </c>
      <c r="P28" s="172" t="n"/>
      <c r="Q28" s="172" t="n"/>
      <c r="R28" s="172" t="n"/>
      <c r="S28" s="172" t="n"/>
      <c r="T28" s="172" t="n"/>
      <c r="U28" s="172" t="n"/>
      <c r="V28" s="172" t="n"/>
    </row>
    <row r="29" ht="18" customHeight="1" s="163">
      <c r="A29" s="172" t="n"/>
      <c r="B29" s="245" t="inlineStr">
        <is>
          <t xml:space="preserve">  Private Health — Annual Renewal</t>
        </is>
      </c>
      <c r="C29" s="249" t="n">
        <v>0</v>
      </c>
      <c r="D29" s="249" t="n">
        <v>0</v>
      </c>
      <c r="E29" s="249" t="n">
        <v>0</v>
      </c>
      <c r="F29" s="249" t="n">
        <v>0</v>
      </c>
      <c r="G29" s="249" t="n">
        <v>0</v>
      </c>
      <c r="H29" s="249" t="n">
        <v>0</v>
      </c>
      <c r="I29" s="249" t="n">
        <v>0</v>
      </c>
      <c r="J29" s="249" t="n">
        <v>0</v>
      </c>
      <c r="K29" s="249" t="n">
        <v>0</v>
      </c>
      <c r="L29" s="249" t="n">
        <v>0</v>
      </c>
      <c r="M29" s="249" t="n">
        <v>0</v>
      </c>
      <c r="N29" s="249" t="n">
        <v>0</v>
      </c>
      <c r="O29" s="243">
        <f>SUM(C29:N29)</f>
        <v/>
      </c>
      <c r="P29" s="172" t="n"/>
      <c r="Q29" s="172" t="n"/>
      <c r="R29" s="172" t="n"/>
      <c r="S29" s="172" t="n"/>
      <c r="T29" s="172" t="n"/>
      <c r="U29" s="172" t="n"/>
      <c r="V29" s="172" t="n"/>
    </row>
    <row r="30" ht="18" customHeight="1" s="163">
      <c r="A30" s="172" t="n"/>
      <c r="B30" s="200" t="inlineStr">
        <is>
          <t xml:space="preserve">  Dentist / Medical (annual)</t>
        </is>
      </c>
      <c r="C30" s="249" t="n">
        <v>0</v>
      </c>
      <c r="D30" s="249" t="n">
        <v>0</v>
      </c>
      <c r="E30" s="249" t="n">
        <v>0</v>
      </c>
      <c r="F30" s="249" t="n">
        <v>0</v>
      </c>
      <c r="G30" s="249" t="n">
        <v>0</v>
      </c>
      <c r="H30" s="249" t="n">
        <v>0</v>
      </c>
      <c r="I30" s="249" t="n">
        <v>0</v>
      </c>
      <c r="J30" s="249" t="n">
        <v>0</v>
      </c>
      <c r="K30" s="249" t="n">
        <v>0</v>
      </c>
      <c r="L30" s="249" t="n">
        <v>0</v>
      </c>
      <c r="M30" s="249" t="n">
        <v>0</v>
      </c>
      <c r="N30" s="249" t="n">
        <v>0</v>
      </c>
      <c r="O30" s="243">
        <f>SUM(C30:N30)</f>
        <v/>
      </c>
      <c r="P30" s="172" t="n"/>
      <c r="Q30" s="172" t="n"/>
      <c r="R30" s="172" t="n"/>
      <c r="S30" s="172" t="n"/>
      <c r="T30" s="172" t="n"/>
      <c r="U30" s="172" t="n"/>
      <c r="V30" s="172" t="n"/>
    </row>
    <row r="31" ht="18" customHeight="1" s="163">
      <c r="A31" s="172" t="n"/>
      <c r="B31" s="194" t="inlineStr">
        <is>
          <t xml:space="preserve">  Holidays</t>
        </is>
      </c>
      <c r="C31" s="249" t="n">
        <v>0</v>
      </c>
      <c r="D31" s="249" t="n">
        <v>0</v>
      </c>
      <c r="E31" s="249" t="n">
        <v>0</v>
      </c>
      <c r="F31" s="249" t="n">
        <v>0</v>
      </c>
      <c r="G31" s="249" t="n">
        <v>0</v>
      </c>
      <c r="H31" s="249" t="n">
        <v>0</v>
      </c>
      <c r="I31" s="249" t="n">
        <v>0</v>
      </c>
      <c r="J31" s="249" t="n">
        <v>0</v>
      </c>
      <c r="K31" s="249" t="n">
        <v>0</v>
      </c>
      <c r="L31" s="249" t="n">
        <v>0</v>
      </c>
      <c r="M31" s="249" t="n">
        <v>0</v>
      </c>
      <c r="N31" s="249" t="n">
        <v>0</v>
      </c>
      <c r="O31" s="243">
        <f>SUM(C31:N31)</f>
        <v/>
      </c>
      <c r="P31" s="172" t="n"/>
      <c r="Q31" s="172" t="n"/>
      <c r="R31" s="172" t="n"/>
      <c r="S31" s="172" t="n"/>
      <c r="T31" s="172" t="n"/>
      <c r="U31" s="172" t="n"/>
      <c r="V31" s="172" t="n"/>
    </row>
    <row r="32" ht="18" customHeight="1" s="163">
      <c r="A32" s="172" t="n"/>
      <c r="B32" s="191" t="inlineStr">
        <is>
          <t xml:space="preserve">  Christmas Gifts</t>
        </is>
      </c>
      <c r="C32" s="249" t="n">
        <v>0</v>
      </c>
      <c r="D32" s="249" t="n">
        <v>0</v>
      </c>
      <c r="E32" s="249" t="n">
        <v>0</v>
      </c>
      <c r="F32" s="249" t="n">
        <v>0</v>
      </c>
      <c r="G32" s="249" t="n">
        <v>0</v>
      </c>
      <c r="H32" s="249" t="n">
        <v>0</v>
      </c>
      <c r="I32" s="249" t="n">
        <v>0</v>
      </c>
      <c r="J32" s="249" t="n">
        <v>0</v>
      </c>
      <c r="K32" s="249" t="n">
        <v>0</v>
      </c>
      <c r="L32" s="249" t="n">
        <v>0</v>
      </c>
      <c r="M32" s="249" t="n">
        <v>0</v>
      </c>
      <c r="N32" s="249" t="n">
        <v>0</v>
      </c>
      <c r="O32" s="243">
        <f>SUM(C32:N32)</f>
        <v/>
      </c>
      <c r="P32" s="172" t="n"/>
      <c r="Q32" s="172" t="n"/>
      <c r="R32" s="172" t="n"/>
      <c r="S32" s="172" t="n"/>
      <c r="T32" s="172" t="n"/>
      <c r="U32" s="172" t="n"/>
      <c r="V32" s="172" t="n"/>
    </row>
    <row r="33" ht="18" customHeight="1" s="163">
      <c r="A33" s="172" t="n"/>
      <c r="B33" s="194" t="inlineStr">
        <is>
          <t xml:space="preserve">  Birthdays</t>
        </is>
      </c>
      <c r="C33" s="249" t="n">
        <v>0</v>
      </c>
      <c r="D33" s="249" t="n">
        <v>0</v>
      </c>
      <c r="E33" s="249" t="n">
        <v>0</v>
      </c>
      <c r="F33" s="249" t="n">
        <v>0</v>
      </c>
      <c r="G33" s="249" t="n">
        <v>0</v>
      </c>
      <c r="H33" s="249" t="n">
        <v>0</v>
      </c>
      <c r="I33" s="249" t="n">
        <v>0</v>
      </c>
      <c r="J33" s="249" t="n">
        <v>0</v>
      </c>
      <c r="K33" s="249" t="n">
        <v>0</v>
      </c>
      <c r="L33" s="249" t="n">
        <v>0</v>
      </c>
      <c r="M33" s="249" t="n">
        <v>0</v>
      </c>
      <c r="N33" s="249" t="n">
        <v>0</v>
      </c>
      <c r="O33" s="243">
        <f>SUM(C33:N33)</f>
        <v/>
      </c>
      <c r="P33" s="172" t="n"/>
      <c r="Q33" s="172" t="n"/>
      <c r="R33" s="172" t="n"/>
      <c r="S33" s="172" t="n"/>
      <c r="T33" s="172" t="n"/>
      <c r="U33" s="172" t="n"/>
      <c r="V33" s="172" t="n"/>
    </row>
    <row r="34" ht="18" customHeight="1" s="163">
      <c r="A34" s="172" t="n"/>
      <c r="B34" s="200" t="inlineStr">
        <is>
          <t xml:space="preserve">  Property Maintenance (unplanned)</t>
        </is>
      </c>
      <c r="C34" s="249" t="n">
        <v>0</v>
      </c>
      <c r="D34" s="249" t="n">
        <v>0</v>
      </c>
      <c r="E34" s="249" t="n">
        <v>0</v>
      </c>
      <c r="F34" s="249" t="n">
        <v>0</v>
      </c>
      <c r="G34" s="249" t="n">
        <v>0</v>
      </c>
      <c r="H34" s="249" t="n">
        <v>0</v>
      </c>
      <c r="I34" s="249" t="n">
        <v>0</v>
      </c>
      <c r="J34" s="249" t="n">
        <v>0</v>
      </c>
      <c r="K34" s="249" t="n">
        <v>0</v>
      </c>
      <c r="L34" s="249" t="n">
        <v>0</v>
      </c>
      <c r="M34" s="249" t="n">
        <v>0</v>
      </c>
      <c r="N34" s="249" t="n">
        <v>0</v>
      </c>
      <c r="O34" s="243">
        <f>SUM(C34:N34)</f>
        <v/>
      </c>
      <c r="P34" s="172" t="n"/>
      <c r="Q34" s="172" t="n"/>
      <c r="R34" s="172" t="n"/>
      <c r="S34" s="172" t="n"/>
      <c r="T34" s="172" t="n"/>
      <c r="U34" s="172" t="n"/>
      <c r="V34" s="172" t="n"/>
    </row>
    <row r="35" ht="18" customHeight="1" s="163">
      <c r="A35" s="172" t="n"/>
      <c r="B35" s="245" t="inlineStr">
        <is>
          <t xml:space="preserve">  Other Large Expenses</t>
        </is>
      </c>
      <c r="C35" s="249" t="n">
        <v>0</v>
      </c>
      <c r="D35" s="249" t="n">
        <v>0</v>
      </c>
      <c r="E35" s="249" t="n">
        <v>0</v>
      </c>
      <c r="F35" s="249" t="n">
        <v>0</v>
      </c>
      <c r="G35" s="249" t="n">
        <v>0</v>
      </c>
      <c r="H35" s="249" t="n">
        <v>0</v>
      </c>
      <c r="I35" s="249" t="n">
        <v>0</v>
      </c>
      <c r="J35" s="249" t="n">
        <v>0</v>
      </c>
      <c r="K35" s="249" t="n">
        <v>0</v>
      </c>
      <c r="L35" s="249" t="n">
        <v>0</v>
      </c>
      <c r="M35" s="249" t="n">
        <v>0</v>
      </c>
      <c r="N35" s="249" t="n">
        <v>0</v>
      </c>
      <c r="O35" s="243">
        <f>SUM(C35:N35)</f>
        <v/>
      </c>
      <c r="P35" s="172" t="n"/>
      <c r="Q35" s="172" t="n"/>
      <c r="R35" s="172" t="n"/>
      <c r="S35" s="172" t="n"/>
      <c r="T35" s="172" t="n"/>
      <c r="U35" s="172" t="n"/>
      <c r="V35" s="172" t="n"/>
    </row>
    <row r="36" ht="32.25" customHeight="1" s="163">
      <c r="A36" s="172" t="n"/>
      <c r="B36" s="259" t="inlineStr">
        <is>
          <t xml:space="preserve">  Total — IRREGULAR / ONE-OFF EXPENSES</t>
        </is>
      </c>
      <c r="C36" s="248">
        <f>SUM(C28:C35)</f>
        <v/>
      </c>
      <c r="D36" s="248">
        <f>SUM(D28:D35)</f>
        <v/>
      </c>
      <c r="E36" s="248">
        <f>SUM(E28:E35)</f>
        <v/>
      </c>
      <c r="F36" s="248">
        <f>SUM(F28:F35)</f>
        <v/>
      </c>
      <c r="G36" s="248">
        <f>SUM(G28:G35)</f>
        <v/>
      </c>
      <c r="H36" s="248">
        <f>SUM(H28:H35)</f>
        <v/>
      </c>
      <c r="I36" s="248">
        <f>SUM(I28:I35)</f>
        <v/>
      </c>
      <c r="J36" s="248">
        <f>SUM(J28:J35)</f>
        <v/>
      </c>
      <c r="K36" s="248">
        <f>SUM(K28:K35)</f>
        <v/>
      </c>
      <c r="L36" s="248">
        <f>SUM(L28:L35)</f>
        <v/>
      </c>
      <c r="M36" s="248">
        <f>SUM(M28:M35)</f>
        <v/>
      </c>
      <c r="N36" s="248">
        <f>SUM(N28:N35)</f>
        <v/>
      </c>
      <c r="O36" s="248">
        <f>SUM(O28:O35)</f>
        <v/>
      </c>
      <c r="P36" s="172" t="n"/>
      <c r="Q36" s="172" t="n"/>
      <c r="R36" s="172" t="n"/>
      <c r="S36" s="172" t="n"/>
      <c r="T36" s="172" t="n"/>
      <c r="U36" s="172" t="n"/>
      <c r="V36" s="172" t="n"/>
    </row>
    <row r="37" ht="21.75" customHeight="1" s="163">
      <c r="A37" s="172" t="n"/>
      <c r="B37" s="254" t="inlineStr">
        <is>
          <t>DEBT REPAYMENTS</t>
        </is>
      </c>
      <c r="C37" s="304" t="n"/>
      <c r="D37" s="304" t="n"/>
      <c r="E37" s="304" t="n"/>
      <c r="F37" s="304" t="n"/>
      <c r="G37" s="304" t="n"/>
      <c r="H37" s="304" t="n"/>
      <c r="I37" s="304" t="n"/>
      <c r="J37" s="304" t="n"/>
      <c r="K37" s="304" t="n"/>
      <c r="L37" s="304" t="n"/>
      <c r="M37" s="304" t="n"/>
      <c r="N37" s="304" t="n"/>
      <c r="O37" s="304" t="n"/>
      <c r="P37" s="172" t="n"/>
      <c r="Q37" s="172" t="n"/>
      <c r="R37" s="172" t="n"/>
      <c r="S37" s="172" t="n"/>
      <c r="T37" s="172" t="n"/>
      <c r="U37" s="172" t="n"/>
      <c r="V37" s="172" t="n"/>
    </row>
    <row r="38" ht="18" customHeight="1" s="163">
      <c r="A38" s="172" t="n"/>
      <c r="B38" s="191">
        <f>"PPOR Mortgage — "&amp;FamilyName&amp;" Home"</f>
        <v/>
      </c>
      <c r="C38" s="303">
        <f>'🏦 Debt Schedule'!H24</f>
        <v/>
      </c>
      <c r="D38" s="303">
        <f>'🏦 Debt Schedule'!H24</f>
        <v/>
      </c>
      <c r="E38" s="303">
        <f>'🏦 Debt Schedule'!H24</f>
        <v/>
      </c>
      <c r="F38" s="303">
        <f>'🏦 Debt Schedule'!H24</f>
        <v/>
      </c>
      <c r="G38" s="303">
        <f>'🏦 Debt Schedule'!H24</f>
        <v/>
      </c>
      <c r="H38" s="303">
        <f>'🏦 Debt Schedule'!H24</f>
        <v/>
      </c>
      <c r="I38" s="303">
        <f>'🏦 Debt Schedule'!H24</f>
        <v/>
      </c>
      <c r="J38" s="303">
        <f>'🏦 Debt Schedule'!H24</f>
        <v/>
      </c>
      <c r="K38" s="303">
        <f>'🏦 Debt Schedule'!H24</f>
        <v/>
      </c>
      <c r="L38" s="303">
        <f>'🏦 Debt Schedule'!H24</f>
        <v/>
      </c>
      <c r="M38" s="303">
        <f>'🏦 Debt Schedule'!H24</f>
        <v/>
      </c>
      <c r="N38" s="303">
        <f>'🏦 Debt Schedule'!H24</f>
        <v/>
      </c>
      <c r="O38" s="243">
        <f>SUM(C38:N38)</f>
        <v/>
      </c>
      <c r="P38" s="172" t="n"/>
      <c r="Q38" s="172" t="n"/>
      <c r="R38" s="172" t="n"/>
      <c r="S38" s="172" t="n"/>
      <c r="T38" s="172" t="n"/>
      <c r="U38" s="172" t="n"/>
      <c r="V38" s="172" t="n"/>
    </row>
    <row r="39" ht="18" customHeight="1" s="163">
      <c r="A39" s="172" t="n"/>
      <c r="B39" s="194" t="inlineStr">
        <is>
          <t xml:space="preserve">  Investment Loan 1</t>
        </is>
      </c>
      <c r="C39" s="303">
        <f>IF('🏦 Debt Schedule'!H16&gt;0,'🏦 Debt Schedule'!H16/3,0)</f>
        <v/>
      </c>
      <c r="D39" s="303">
        <f>IF('🏦 Debt Schedule'!H16&gt;0,'🏦 Debt Schedule'!H16/3,0)</f>
        <v/>
      </c>
      <c r="E39" s="303">
        <f>IF('🏦 Debt Schedule'!H16&gt;0,'🏦 Debt Schedule'!H16/3,0)</f>
        <v/>
      </c>
      <c r="F39" s="303">
        <f>IF('🏦 Debt Schedule'!H16&gt;0,'🏦 Debt Schedule'!H16/3,0)</f>
        <v/>
      </c>
      <c r="G39" s="303">
        <f>IF('🏦 Debt Schedule'!H16&gt;0,'🏦 Debt Schedule'!H16/3,0)</f>
        <v/>
      </c>
      <c r="H39" s="303">
        <f>IF('🏦 Debt Schedule'!H16&gt;0,'🏦 Debt Schedule'!H16/3,0)</f>
        <v/>
      </c>
      <c r="I39" s="303">
        <f>IF('🏦 Debt Schedule'!H16&gt;0,'🏦 Debt Schedule'!H16/3,0)</f>
        <v/>
      </c>
      <c r="J39" s="303">
        <f>IF('🏦 Debt Schedule'!H16&gt;0,'🏦 Debt Schedule'!H16/3,0)</f>
        <v/>
      </c>
      <c r="K39" s="303">
        <f>IF('🏦 Debt Schedule'!H16&gt;0,'🏦 Debt Schedule'!H16/3,0)</f>
        <v/>
      </c>
      <c r="L39" s="303">
        <f>IF('🏦 Debt Schedule'!H16&gt;0,'🏦 Debt Schedule'!H16/3,0)</f>
        <v/>
      </c>
      <c r="M39" s="303">
        <f>IF('🏦 Debt Schedule'!H16&gt;0,'🏦 Debt Schedule'!H16/3,0)</f>
        <v/>
      </c>
      <c r="N39" s="303">
        <f>IF('🏦 Debt Schedule'!H16&gt;0,'🏦 Debt Schedule'!H16/3,0)</f>
        <v/>
      </c>
      <c r="O39" s="243">
        <f>SUM(C39:N39)</f>
        <v/>
      </c>
      <c r="P39" s="172" t="n"/>
      <c r="Q39" s="172" t="n"/>
      <c r="R39" s="172" t="n"/>
      <c r="S39" s="172" t="n"/>
      <c r="T39" s="172" t="n"/>
      <c r="U39" s="172" t="n"/>
      <c r="V39" s="172" t="n"/>
    </row>
    <row r="40" ht="18" customHeight="1" s="163">
      <c r="A40" s="172" t="n"/>
      <c r="B40" s="191" t="inlineStr">
        <is>
          <t xml:space="preserve">  Investment Loan 2</t>
        </is>
      </c>
      <c r="C40" s="303">
        <f>IF('🏦 Debt Schedule'!H16&gt;0,'🏦 Debt Schedule'!H16/3,0)</f>
        <v/>
      </c>
      <c r="D40" s="303">
        <f>IF('🏦 Debt Schedule'!H16&gt;0,'🏦 Debt Schedule'!H16/3,0)</f>
        <v/>
      </c>
      <c r="E40" s="303">
        <f>IF('🏦 Debt Schedule'!H16&gt;0,'🏦 Debt Schedule'!H16/3,0)</f>
        <v/>
      </c>
      <c r="F40" s="303">
        <f>IF('🏦 Debt Schedule'!H16&gt;0,'🏦 Debt Schedule'!H16/3,0)</f>
        <v/>
      </c>
      <c r="G40" s="303">
        <f>IF('🏦 Debt Schedule'!H16&gt;0,'🏦 Debt Schedule'!H16/3,0)</f>
        <v/>
      </c>
      <c r="H40" s="303">
        <f>IF('🏦 Debt Schedule'!H16&gt;0,'🏦 Debt Schedule'!H16/3,0)</f>
        <v/>
      </c>
      <c r="I40" s="303">
        <f>IF('🏦 Debt Schedule'!H16&gt;0,'🏦 Debt Schedule'!H16/3,0)</f>
        <v/>
      </c>
      <c r="J40" s="303">
        <f>IF('🏦 Debt Schedule'!H16&gt;0,'🏦 Debt Schedule'!H16/3,0)</f>
        <v/>
      </c>
      <c r="K40" s="303">
        <f>IF('🏦 Debt Schedule'!H16&gt;0,'🏦 Debt Schedule'!H16/3,0)</f>
        <v/>
      </c>
      <c r="L40" s="303">
        <f>IF('🏦 Debt Schedule'!H16&gt;0,'🏦 Debt Schedule'!H16/3,0)</f>
        <v/>
      </c>
      <c r="M40" s="303">
        <f>IF('🏦 Debt Schedule'!H16&gt;0,'🏦 Debt Schedule'!H16/3,0)</f>
        <v/>
      </c>
      <c r="N40" s="303">
        <f>IF('🏦 Debt Schedule'!H16&gt;0,'🏦 Debt Schedule'!H16/3,0)</f>
        <v/>
      </c>
      <c r="O40" s="243">
        <f>SUM(C40:N40)</f>
        <v/>
      </c>
      <c r="P40" s="172" t="n"/>
      <c r="Q40" s="172" t="n"/>
      <c r="R40" s="172" t="n"/>
      <c r="S40" s="172" t="n"/>
      <c r="T40" s="172" t="n"/>
      <c r="U40" s="172" t="n"/>
      <c r="V40" s="172" t="n"/>
    </row>
    <row r="41" ht="18" customHeight="1" s="163">
      <c r="A41" s="172" t="n"/>
      <c r="B41" s="194" t="inlineStr">
        <is>
          <t xml:space="preserve">  Investment Loan 3</t>
        </is>
      </c>
      <c r="C41" s="303">
        <f>IF('🏦 Debt Schedule'!H16&gt;0,'🏦 Debt Schedule'!H16/3,0)</f>
        <v/>
      </c>
      <c r="D41" s="303">
        <f>IF('🏦 Debt Schedule'!H16&gt;0,'🏦 Debt Schedule'!H16/3,0)</f>
        <v/>
      </c>
      <c r="E41" s="303">
        <f>IF('🏦 Debt Schedule'!H16&gt;0,'🏦 Debt Schedule'!H16/3,0)</f>
        <v/>
      </c>
      <c r="F41" s="303">
        <f>IF('🏦 Debt Schedule'!H16&gt;0,'🏦 Debt Schedule'!H16/3,0)</f>
        <v/>
      </c>
      <c r="G41" s="303">
        <f>IF('🏦 Debt Schedule'!H16&gt;0,'🏦 Debt Schedule'!H16/3,0)</f>
        <v/>
      </c>
      <c r="H41" s="303">
        <f>IF('🏦 Debt Schedule'!H16&gt;0,'🏦 Debt Schedule'!H16/3,0)</f>
        <v/>
      </c>
      <c r="I41" s="303">
        <f>IF('🏦 Debt Schedule'!H16&gt;0,'🏦 Debt Schedule'!H16/3,0)</f>
        <v/>
      </c>
      <c r="J41" s="303">
        <f>IF('🏦 Debt Schedule'!H16&gt;0,'🏦 Debt Schedule'!H16/3,0)</f>
        <v/>
      </c>
      <c r="K41" s="303">
        <f>IF('🏦 Debt Schedule'!H16&gt;0,'🏦 Debt Schedule'!H16/3,0)</f>
        <v/>
      </c>
      <c r="L41" s="303">
        <f>IF('🏦 Debt Schedule'!H16&gt;0,'🏦 Debt Schedule'!H16/3,0)</f>
        <v/>
      </c>
      <c r="M41" s="303">
        <f>IF('🏦 Debt Schedule'!H16&gt;0,'🏦 Debt Schedule'!H16/3,0)</f>
        <v/>
      </c>
      <c r="N41" s="303">
        <f>IF('🏦 Debt Schedule'!H16&gt;0,'🏦 Debt Schedule'!H16/3,0)</f>
        <v/>
      </c>
      <c r="O41" s="243">
        <f>SUM(C41:N41)</f>
        <v/>
      </c>
      <c r="P41" s="172" t="n"/>
      <c r="Q41" s="172" t="n"/>
      <c r="R41" s="172" t="n"/>
      <c r="S41" s="172" t="n"/>
      <c r="T41" s="172" t="n"/>
      <c r="U41" s="172" t="n"/>
      <c r="V41" s="172" t="n"/>
    </row>
    <row r="42" ht="18" customHeight="1" s="163">
      <c r="A42" s="172" t="n"/>
      <c r="B42" s="191" t="inlineStr">
        <is>
          <t>Personal Loan</t>
        </is>
      </c>
      <c r="C42" s="249" t="n">
        <v>0</v>
      </c>
      <c r="D42" s="249" t="n">
        <v>0</v>
      </c>
      <c r="E42" s="249" t="n">
        <v>0</v>
      </c>
      <c r="F42" s="249" t="n">
        <v>0</v>
      </c>
      <c r="G42" s="249" t="n">
        <v>0</v>
      </c>
      <c r="H42" s="249" t="n">
        <v>0</v>
      </c>
      <c r="I42" s="249" t="n">
        <v>0</v>
      </c>
      <c r="J42" s="249" t="n">
        <v>0</v>
      </c>
      <c r="K42" s="249" t="n">
        <v>0</v>
      </c>
      <c r="L42" s="249" t="n">
        <v>0</v>
      </c>
      <c r="M42" s="249" t="n">
        <v>0</v>
      </c>
      <c r="N42" s="249" t="n">
        <v>0</v>
      </c>
      <c r="O42" s="243">
        <f>SUM(C42:N42)</f>
        <v/>
      </c>
      <c r="P42" s="172" t="n"/>
      <c r="Q42" s="172" t="n"/>
      <c r="R42" s="172" t="n"/>
      <c r="S42" s="172" t="n"/>
      <c r="T42" s="172" t="n"/>
      <c r="U42" s="172" t="n"/>
      <c r="V42" s="172" t="n"/>
    </row>
    <row r="43" ht="18" customHeight="1" s="163">
      <c r="A43" s="172" t="n"/>
      <c r="B43" s="245" t="inlineStr">
        <is>
          <t xml:space="preserve">  Credit Card Minimum</t>
        </is>
      </c>
      <c r="C43" s="249" t="n">
        <v>0</v>
      </c>
      <c r="D43" s="249" t="n">
        <v>0</v>
      </c>
      <c r="E43" s="249" t="n">
        <v>0</v>
      </c>
      <c r="F43" s="249" t="n">
        <v>0</v>
      </c>
      <c r="G43" s="249" t="n">
        <v>0</v>
      </c>
      <c r="H43" s="249" t="n">
        <v>0</v>
      </c>
      <c r="I43" s="249" t="n">
        <v>0</v>
      </c>
      <c r="J43" s="249" t="n">
        <v>0</v>
      </c>
      <c r="K43" s="249" t="n">
        <v>0</v>
      </c>
      <c r="L43" s="249" t="n">
        <v>0</v>
      </c>
      <c r="M43" s="249" t="n">
        <v>0</v>
      </c>
      <c r="N43" s="249" t="n">
        <v>0</v>
      </c>
      <c r="O43" s="243">
        <f>SUM(C43:N43)</f>
        <v/>
      </c>
      <c r="P43" s="172" t="n"/>
      <c r="Q43" s="172" t="n"/>
      <c r="R43" s="172" t="n"/>
      <c r="S43" s="172" t="n"/>
      <c r="T43" s="172" t="n"/>
      <c r="U43" s="172" t="n"/>
      <c r="V43" s="172" t="n"/>
    </row>
    <row r="44" ht="18" customHeight="1" s="163">
      <c r="A44" s="172" t="n"/>
      <c r="B44" s="259" t="inlineStr">
        <is>
          <t xml:space="preserve">  Total — DEBT REPAYMENTS</t>
        </is>
      </c>
      <c r="C44" s="248">
        <f>SUM(C38:C43)</f>
        <v/>
      </c>
      <c r="D44" s="248">
        <f>SUM(D38:D43)</f>
        <v/>
      </c>
      <c r="E44" s="248">
        <f>SUM(E38:E43)</f>
        <v/>
      </c>
      <c r="F44" s="248">
        <f>SUM(F38:F43)</f>
        <v/>
      </c>
      <c r="G44" s="248">
        <f>SUM(G38:G43)</f>
        <v/>
      </c>
      <c r="H44" s="248">
        <f>SUM(H38:H43)</f>
        <v/>
      </c>
      <c r="I44" s="248">
        <f>SUM(I38:I43)</f>
        <v/>
      </c>
      <c r="J44" s="248">
        <f>SUM(J38:J43)</f>
        <v/>
      </c>
      <c r="K44" s="248">
        <f>SUM(K38:K43)</f>
        <v/>
      </c>
      <c r="L44" s="248">
        <f>SUM(L38:L43)</f>
        <v/>
      </c>
      <c r="M44" s="248">
        <f>SUM(M38:M43)</f>
        <v/>
      </c>
      <c r="N44" s="248">
        <f>SUM(N38:N43)</f>
        <v/>
      </c>
      <c r="O44" s="248">
        <f>SUM(O38:O43)</f>
        <v/>
      </c>
      <c r="P44" s="172" t="n"/>
      <c r="Q44" s="172" t="n"/>
      <c r="R44" s="172" t="n"/>
      <c r="S44" s="172" t="n"/>
      <c r="T44" s="172" t="n"/>
      <c r="U44" s="172" t="n"/>
      <c r="V44" s="172" t="n"/>
    </row>
    <row r="45" ht="21.75" customHeight="1" s="163">
      <c r="A45" s="172" t="n"/>
      <c r="B45" s="254" t="inlineStr">
        <is>
          <t>SAVINGS &amp; INVESTMENTS</t>
        </is>
      </c>
      <c r="C45" s="304" t="n"/>
      <c r="D45" s="304" t="n"/>
      <c r="E45" s="304" t="n"/>
      <c r="F45" s="304" t="n"/>
      <c r="G45" s="304" t="n"/>
      <c r="H45" s="304" t="n"/>
      <c r="I45" s="304" t="n"/>
      <c r="J45" s="304" t="n"/>
      <c r="K45" s="304" t="n"/>
      <c r="L45" s="304" t="n"/>
      <c r="M45" s="304" t="n"/>
      <c r="N45" s="304" t="n"/>
      <c r="O45" s="304" t="n"/>
      <c r="P45" s="172" t="n"/>
      <c r="Q45" s="172" t="n"/>
      <c r="R45" s="172" t="n"/>
      <c r="S45" s="172" t="n"/>
      <c r="T45" s="172" t="n"/>
      <c r="U45" s="172" t="n"/>
      <c r="V45" s="172" t="n"/>
    </row>
    <row r="46" ht="18" customHeight="1" s="163">
      <c r="A46" s="172" t="n"/>
      <c r="B46" s="200" t="inlineStr">
        <is>
          <t xml:space="preserve">  Emergency Fund Top-up</t>
        </is>
      </c>
      <c r="C46" s="249" t="n">
        <v>0</v>
      </c>
      <c r="D46" s="249" t="n">
        <v>0</v>
      </c>
      <c r="E46" s="249" t="n">
        <v>0</v>
      </c>
      <c r="F46" s="249" t="n">
        <v>0</v>
      </c>
      <c r="G46" s="249" t="n">
        <v>0</v>
      </c>
      <c r="H46" s="249" t="n">
        <v>0</v>
      </c>
      <c r="I46" s="249" t="n">
        <v>0</v>
      </c>
      <c r="J46" s="249" t="n">
        <v>0</v>
      </c>
      <c r="K46" s="249" t="n">
        <v>0</v>
      </c>
      <c r="L46" s="249" t="n">
        <v>0</v>
      </c>
      <c r="M46" s="249" t="n">
        <v>0</v>
      </c>
      <c r="N46" s="249" t="n">
        <v>0</v>
      </c>
      <c r="O46" s="243">
        <f>SUM(C46:N46)</f>
        <v/>
      </c>
      <c r="P46" s="172" t="n"/>
      <c r="Q46" s="172" t="n"/>
      <c r="R46" s="172" t="n"/>
      <c r="S46" s="172" t="n"/>
      <c r="T46" s="172" t="n"/>
      <c r="U46" s="172" t="n"/>
      <c r="V46" s="172" t="n"/>
    </row>
    <row r="47" ht="18" customHeight="1" s="163">
      <c r="A47" s="172" t="n"/>
      <c r="B47" s="194" t="inlineStr">
        <is>
          <t xml:space="preserve">  Share Purchases</t>
        </is>
      </c>
      <c r="C47" s="249" t="n">
        <v>0</v>
      </c>
      <c r="D47" s="249" t="n">
        <v>0</v>
      </c>
      <c r="E47" s="249" t="n">
        <v>0</v>
      </c>
      <c r="F47" s="249" t="n">
        <v>0</v>
      </c>
      <c r="G47" s="249" t="n">
        <v>0</v>
      </c>
      <c r="H47" s="249" t="n">
        <v>0</v>
      </c>
      <c r="I47" s="249" t="n">
        <v>0</v>
      </c>
      <c r="J47" s="249" t="n">
        <v>0</v>
      </c>
      <c r="K47" s="249" t="n">
        <v>0</v>
      </c>
      <c r="L47" s="249" t="n">
        <v>0</v>
      </c>
      <c r="M47" s="249" t="n">
        <v>0</v>
      </c>
      <c r="N47" s="249" t="n">
        <v>0</v>
      </c>
      <c r="O47" s="243">
        <f>SUM(C47:N47)</f>
        <v/>
      </c>
      <c r="P47" s="172" t="n"/>
      <c r="Q47" s="172" t="n"/>
      <c r="R47" s="172" t="n"/>
      <c r="S47" s="172" t="n"/>
      <c r="T47" s="172" t="n"/>
      <c r="U47" s="172" t="n"/>
      <c r="V47" s="172" t="n"/>
    </row>
    <row r="48" ht="18" customHeight="1" s="163">
      <c r="A48" s="172" t="n"/>
      <c r="B48" s="200" t="inlineStr">
        <is>
          <t xml:space="preserve">  Salary Sacrifice (super)</t>
        </is>
      </c>
      <c r="C48" s="249" t="n">
        <v>0</v>
      </c>
      <c r="D48" s="249" t="n">
        <v>0</v>
      </c>
      <c r="E48" s="249" t="n">
        <v>0</v>
      </c>
      <c r="F48" s="249" t="n">
        <v>0</v>
      </c>
      <c r="G48" s="249" t="n">
        <v>0</v>
      </c>
      <c r="H48" s="249" t="n">
        <v>0</v>
      </c>
      <c r="I48" s="249" t="n">
        <v>0</v>
      </c>
      <c r="J48" s="249" t="n">
        <v>0</v>
      </c>
      <c r="K48" s="249" t="n">
        <v>0</v>
      </c>
      <c r="L48" s="249" t="n">
        <v>0</v>
      </c>
      <c r="M48" s="249" t="n">
        <v>0</v>
      </c>
      <c r="N48" s="249" t="n">
        <v>0</v>
      </c>
      <c r="O48" s="243">
        <f>SUM(C48:N48)</f>
        <v/>
      </c>
      <c r="P48" s="172" t="n"/>
      <c r="Q48" s="172" t="n"/>
      <c r="R48" s="172" t="n"/>
      <c r="S48" s="172" t="n"/>
      <c r="T48" s="172" t="n"/>
      <c r="U48" s="172" t="n"/>
      <c r="V48" s="172" t="n"/>
    </row>
    <row r="49" ht="18" customHeight="1" s="163">
      <c r="A49" s="172" t="n"/>
      <c r="B49" s="194" t="inlineStr">
        <is>
          <t xml:space="preserve">  Holiday Fund</t>
        </is>
      </c>
      <c r="C49" s="249" t="n">
        <v>0</v>
      </c>
      <c r="D49" s="249" t="n">
        <v>0</v>
      </c>
      <c r="E49" s="249" t="n">
        <v>0</v>
      </c>
      <c r="F49" s="249" t="n">
        <v>0</v>
      </c>
      <c r="G49" s="249" t="n">
        <v>0</v>
      </c>
      <c r="H49" s="249" t="n">
        <v>0</v>
      </c>
      <c r="I49" s="249" t="n">
        <v>0</v>
      </c>
      <c r="J49" s="249" t="n">
        <v>0</v>
      </c>
      <c r="K49" s="249" t="n">
        <v>0</v>
      </c>
      <c r="L49" s="249" t="n">
        <v>0</v>
      </c>
      <c r="M49" s="249" t="n">
        <v>0</v>
      </c>
      <c r="N49" s="249" t="n">
        <v>0</v>
      </c>
      <c r="O49" s="243">
        <f>SUM(C49:N49)</f>
        <v/>
      </c>
      <c r="P49" s="172" t="n"/>
      <c r="Q49" s="172" t="n"/>
      <c r="R49" s="172" t="n"/>
      <c r="S49" s="172" t="n"/>
      <c r="T49" s="172" t="n"/>
      <c r="U49" s="172" t="n"/>
      <c r="V49" s="172" t="n"/>
    </row>
    <row r="50" ht="18" customHeight="1" s="163">
      <c r="A50" s="172" t="n"/>
      <c r="B50" s="191" t="inlineStr">
        <is>
          <t xml:space="preserve">  Education Fund</t>
        </is>
      </c>
      <c r="C50" s="249" t="n">
        <v>0</v>
      </c>
      <c r="D50" s="249" t="n">
        <v>0</v>
      </c>
      <c r="E50" s="249" t="n">
        <v>0</v>
      </c>
      <c r="F50" s="249" t="n">
        <v>0</v>
      </c>
      <c r="G50" s="249" t="n">
        <v>0</v>
      </c>
      <c r="H50" s="249" t="n">
        <v>0</v>
      </c>
      <c r="I50" s="249" t="n">
        <v>0</v>
      </c>
      <c r="J50" s="249" t="n">
        <v>0</v>
      </c>
      <c r="K50" s="249" t="n">
        <v>0</v>
      </c>
      <c r="L50" s="249" t="n">
        <v>0</v>
      </c>
      <c r="M50" s="249" t="n">
        <v>0</v>
      </c>
      <c r="N50" s="249" t="n">
        <v>0</v>
      </c>
      <c r="O50" s="243">
        <f>SUM(C50:N50)</f>
        <v/>
      </c>
      <c r="P50" s="172" t="n"/>
      <c r="Q50" s="172" t="n"/>
      <c r="R50" s="172" t="n"/>
      <c r="S50" s="172" t="n"/>
      <c r="T50" s="172" t="n"/>
      <c r="U50" s="172" t="n"/>
      <c r="V50" s="172" t="n"/>
    </row>
    <row r="51" ht="18" customHeight="1" s="163">
      <c r="A51" s="172" t="n"/>
      <c r="B51" s="259" t="inlineStr">
        <is>
          <t xml:space="preserve">  Total — SAVINGS &amp; INVESTMENTS</t>
        </is>
      </c>
      <c r="C51" s="248">
        <f>SUM(C46:C50)</f>
        <v/>
      </c>
      <c r="D51" s="248">
        <f>SUM(D46:D50)</f>
        <v/>
      </c>
      <c r="E51" s="248">
        <f>SUM(E46:E50)</f>
        <v/>
      </c>
      <c r="F51" s="248">
        <f>SUM(F46:F50)</f>
        <v/>
      </c>
      <c r="G51" s="248">
        <f>SUM(G46:G50)</f>
        <v/>
      </c>
      <c r="H51" s="248">
        <f>SUM(H46:H50)</f>
        <v/>
      </c>
      <c r="I51" s="248">
        <f>SUM(I46:I50)</f>
        <v/>
      </c>
      <c r="J51" s="248">
        <f>SUM(J46:J50)</f>
        <v/>
      </c>
      <c r="K51" s="248">
        <f>SUM(K46:K50)</f>
        <v/>
      </c>
      <c r="L51" s="248">
        <f>SUM(L46:L50)</f>
        <v/>
      </c>
      <c r="M51" s="248">
        <f>SUM(M46:M50)</f>
        <v/>
      </c>
      <c r="N51" s="248">
        <f>SUM(N46:N50)</f>
        <v/>
      </c>
      <c r="O51" s="248">
        <f>SUM(O46:O50)</f>
        <v/>
      </c>
      <c r="P51" s="172" t="n"/>
      <c r="Q51" s="172" t="n"/>
      <c r="R51" s="172" t="n"/>
      <c r="S51" s="172" t="n"/>
      <c r="T51" s="172" t="n"/>
      <c r="U51" s="172" t="n"/>
      <c r="V51" s="172" t="n"/>
    </row>
    <row r="52">
      <c r="A52" s="172" t="n"/>
      <c r="B52" s="172" t="n"/>
      <c r="C52" s="172" t="n"/>
      <c r="D52" s="172" t="n"/>
      <c r="E52" s="172" t="n"/>
      <c r="F52" s="172" t="n"/>
      <c r="G52" s="172" t="n"/>
      <c r="H52" s="172" t="n"/>
      <c r="I52" s="172" t="n"/>
      <c r="J52" s="172" t="n"/>
      <c r="K52" s="172" t="n"/>
      <c r="L52" s="172" t="n"/>
      <c r="M52" s="172" t="n"/>
      <c r="N52" s="172" t="n"/>
      <c r="O52" s="172" t="n"/>
      <c r="P52" s="172" t="n"/>
      <c r="Q52" s="172" t="n"/>
      <c r="R52" s="172" t="n"/>
      <c r="S52" s="172" t="n"/>
      <c r="T52" s="172" t="n"/>
      <c r="U52" s="172" t="n"/>
      <c r="V52" s="172" t="n"/>
    </row>
    <row r="53" ht="21.75" customHeight="1" s="163">
      <c r="A53" s="172" t="n"/>
      <c r="B53" s="250" t="inlineStr">
        <is>
          <t>MONTHLY CASHFLOW SUMMARY</t>
        </is>
      </c>
      <c r="C53" s="198" t="n"/>
      <c r="D53" s="198" t="n"/>
      <c r="E53" s="198" t="n"/>
      <c r="F53" s="198" t="n"/>
      <c r="G53" s="198" t="n"/>
      <c r="H53" s="198" t="n"/>
      <c r="I53" s="198" t="n"/>
      <c r="J53" s="198" t="n"/>
      <c r="K53" s="198" t="n"/>
      <c r="L53" s="198" t="n"/>
      <c r="M53" s="198" t="n"/>
      <c r="N53" s="198" t="n"/>
      <c r="O53" s="199" t="n"/>
      <c r="P53" s="172" t="n"/>
      <c r="Q53" s="172" t="n"/>
      <c r="R53" s="172" t="n"/>
      <c r="S53" s="172" t="n"/>
      <c r="T53" s="172" t="n"/>
      <c r="U53" s="172" t="n"/>
      <c r="V53" s="172" t="n"/>
    </row>
    <row r="54" ht="21.75" customHeight="1" s="163">
      <c r="A54" s="172" t="n"/>
      <c r="B54" s="187" t="inlineStr">
        <is>
          <t>Summary Item</t>
        </is>
      </c>
      <c r="C54" s="253" t="inlineStr">
        <is>
          <t>Jan</t>
        </is>
      </c>
      <c r="D54" s="253" t="inlineStr">
        <is>
          <t>Feb</t>
        </is>
      </c>
      <c r="E54" s="253" t="inlineStr">
        <is>
          <t>Mar</t>
        </is>
      </c>
      <c r="F54" s="253" t="inlineStr">
        <is>
          <t>Apr</t>
        </is>
      </c>
      <c r="G54" s="253" t="inlineStr">
        <is>
          <t>May</t>
        </is>
      </c>
      <c r="H54" s="253" t="inlineStr">
        <is>
          <t>Jun</t>
        </is>
      </c>
      <c r="I54" s="253" t="inlineStr">
        <is>
          <t>Jul</t>
        </is>
      </c>
      <c r="J54" s="253" t="inlineStr">
        <is>
          <t>Aug</t>
        </is>
      </c>
      <c r="K54" s="253" t="inlineStr">
        <is>
          <t>Sep</t>
        </is>
      </c>
      <c r="L54" s="253" t="inlineStr">
        <is>
          <t>Oct</t>
        </is>
      </c>
      <c r="M54" s="253" t="inlineStr">
        <is>
          <t>Nov</t>
        </is>
      </c>
      <c r="N54" s="253" t="inlineStr">
        <is>
          <t>Dec</t>
        </is>
      </c>
      <c r="O54" s="187" t="inlineStr">
        <is>
          <t>TOTAL</t>
        </is>
      </c>
      <c r="P54" s="172" t="n"/>
      <c r="Q54" s="172" t="n"/>
      <c r="R54" s="172" t="n"/>
      <c r="S54" s="172" t="n"/>
      <c r="T54" s="172" t="n"/>
      <c r="U54" s="172" t="n"/>
      <c r="V54" s="172" t="n"/>
    </row>
    <row r="55" ht="18" customHeight="1" s="163">
      <c r="A55" s="172" t="n"/>
      <c r="B55" s="305" t="inlineStr">
        <is>
          <t>Total Income</t>
        </is>
      </c>
      <c r="C55" s="306">
        <f>C11</f>
        <v/>
      </c>
      <c r="D55" s="306">
        <f>D11</f>
        <v/>
      </c>
      <c r="E55" s="306">
        <f>E11</f>
        <v/>
      </c>
      <c r="F55" s="306">
        <f>F11</f>
        <v/>
      </c>
      <c r="G55" s="306">
        <f>G11</f>
        <v/>
      </c>
      <c r="H55" s="306">
        <f>H11</f>
        <v/>
      </c>
      <c r="I55" s="306">
        <f>I11</f>
        <v/>
      </c>
      <c r="J55" s="306">
        <f>J11</f>
        <v/>
      </c>
      <c r="K55" s="306">
        <f>K11</f>
        <v/>
      </c>
      <c r="L55" s="306">
        <f>L11</f>
        <v/>
      </c>
      <c r="M55" s="306">
        <f>M11</f>
        <v/>
      </c>
      <c r="N55" s="306">
        <f>N11</f>
        <v/>
      </c>
      <c r="O55" s="306">
        <f>O11</f>
        <v/>
      </c>
      <c r="P55" s="172" t="n"/>
      <c r="Q55" s="172" t="n"/>
      <c r="R55" s="172" t="n"/>
      <c r="S55" s="172" t="n"/>
      <c r="T55" s="172" t="n"/>
      <c r="U55" s="172" t="n"/>
      <c r="V55" s="172" t="n"/>
    </row>
    <row r="56" ht="18" customHeight="1" s="163">
      <c r="A56" s="172" t="n"/>
      <c r="B56" s="307" t="inlineStr">
        <is>
          <t>Total Expenses</t>
        </is>
      </c>
      <c r="C56" s="308">
        <f>C18</f>
        <v/>
      </c>
      <c r="D56" s="308">
        <f>D18</f>
        <v/>
      </c>
      <c r="E56" s="308">
        <f>E18</f>
        <v/>
      </c>
      <c r="F56" s="308">
        <f>F18</f>
        <v/>
      </c>
      <c r="G56" s="308">
        <f>G18</f>
        <v/>
      </c>
      <c r="H56" s="308">
        <f>H18</f>
        <v/>
      </c>
      <c r="I56" s="308">
        <f>I18</f>
        <v/>
      </c>
      <c r="J56" s="308">
        <f>J18</f>
        <v/>
      </c>
      <c r="K56" s="308">
        <f>K18</f>
        <v/>
      </c>
      <c r="L56" s="308">
        <f>L18</f>
        <v/>
      </c>
      <c r="M56" s="308">
        <f>M18</f>
        <v/>
      </c>
      <c r="N56" s="308">
        <f>N18</f>
        <v/>
      </c>
      <c r="O56" s="308">
        <f>O18</f>
        <v/>
      </c>
      <c r="P56" s="172" t="n"/>
      <c r="Q56" s="172" t="n"/>
      <c r="R56" s="172" t="n"/>
      <c r="S56" s="172" t="n"/>
      <c r="T56" s="172" t="n"/>
      <c r="U56" s="172" t="n"/>
      <c r="V56" s="172" t="n"/>
    </row>
    <row r="57" ht="18" customHeight="1" s="163">
      <c r="A57" s="172" t="n"/>
      <c r="B57" s="191" t="inlineStr">
        <is>
          <t>Education</t>
        </is>
      </c>
      <c r="C57" s="309">
        <f>C26</f>
        <v/>
      </c>
      <c r="D57" s="309">
        <f>D26</f>
        <v/>
      </c>
      <c r="E57" s="309">
        <f>E26</f>
        <v/>
      </c>
      <c r="F57" s="309">
        <f>F26</f>
        <v/>
      </c>
      <c r="G57" s="309">
        <f>G26</f>
        <v/>
      </c>
      <c r="H57" s="309">
        <f>H26</f>
        <v/>
      </c>
      <c r="I57" s="309">
        <f>I26</f>
        <v/>
      </c>
      <c r="J57" s="309">
        <f>J26</f>
        <v/>
      </c>
      <c r="K57" s="309">
        <f>K26</f>
        <v/>
      </c>
      <c r="L57" s="309">
        <f>L26</f>
        <v/>
      </c>
      <c r="M57" s="309">
        <f>M26</f>
        <v/>
      </c>
      <c r="N57" s="309">
        <f>N26</f>
        <v/>
      </c>
      <c r="O57" s="309">
        <f>O26</f>
        <v/>
      </c>
      <c r="P57" s="172" t="n"/>
      <c r="Q57" s="172" t="n"/>
      <c r="R57" s="172" t="n"/>
      <c r="S57" s="172" t="n"/>
      <c r="T57" s="172" t="n"/>
      <c r="U57" s="172" t="n"/>
      <c r="V57" s="172" t="n"/>
    </row>
    <row r="58" ht="18" customHeight="1" s="163">
      <c r="A58" s="172" t="n"/>
      <c r="B58" s="191" t="inlineStr">
        <is>
          <t>Irregular</t>
        </is>
      </c>
      <c r="C58" s="309">
        <f>C36</f>
        <v/>
      </c>
      <c r="D58" s="309">
        <f>D36</f>
        <v/>
      </c>
      <c r="E58" s="309">
        <f>E36</f>
        <v/>
      </c>
      <c r="F58" s="309">
        <f>F36</f>
        <v/>
      </c>
      <c r="G58" s="309">
        <f>G36</f>
        <v/>
      </c>
      <c r="H58" s="309">
        <f>H36</f>
        <v/>
      </c>
      <c r="I58" s="309">
        <f>I36</f>
        <v/>
      </c>
      <c r="J58" s="309">
        <f>J36</f>
        <v/>
      </c>
      <c r="K58" s="309">
        <f>K36</f>
        <v/>
      </c>
      <c r="L58" s="309">
        <f>L36</f>
        <v/>
      </c>
      <c r="M58" s="309">
        <f>M36</f>
        <v/>
      </c>
      <c r="N58" s="309">
        <f>N36</f>
        <v/>
      </c>
      <c r="O58" s="309">
        <f>O36</f>
        <v/>
      </c>
      <c r="P58" s="172" t="n"/>
      <c r="Q58" s="172" t="n"/>
      <c r="R58" s="172" t="n"/>
      <c r="S58" s="172" t="n"/>
      <c r="T58" s="172" t="n"/>
      <c r="U58" s="172" t="n"/>
      <c r="V58" s="172" t="n"/>
    </row>
    <row r="59" ht="18" customHeight="1" s="163">
      <c r="A59" s="172" t="n"/>
      <c r="B59" s="191" t="inlineStr">
        <is>
          <t>Debt</t>
        </is>
      </c>
      <c r="C59" s="309">
        <f>C44</f>
        <v/>
      </c>
      <c r="D59" s="309">
        <f>D44</f>
        <v/>
      </c>
      <c r="E59" s="309">
        <f>E44</f>
        <v/>
      </c>
      <c r="F59" s="309">
        <f>F44</f>
        <v/>
      </c>
      <c r="G59" s="309">
        <f>G44</f>
        <v/>
      </c>
      <c r="H59" s="309">
        <f>H44</f>
        <v/>
      </c>
      <c r="I59" s="309">
        <f>I44</f>
        <v/>
      </c>
      <c r="J59" s="309">
        <f>J44</f>
        <v/>
      </c>
      <c r="K59" s="309">
        <f>K44</f>
        <v/>
      </c>
      <c r="L59" s="309">
        <f>L44</f>
        <v/>
      </c>
      <c r="M59" s="309">
        <f>M44</f>
        <v/>
      </c>
      <c r="N59" s="309">
        <f>N44</f>
        <v/>
      </c>
      <c r="O59" s="309">
        <f>O44</f>
        <v/>
      </c>
      <c r="P59" s="172" t="n"/>
      <c r="Q59" s="172" t="n"/>
      <c r="R59" s="172" t="n"/>
      <c r="S59" s="172" t="n"/>
      <c r="T59" s="172" t="n"/>
      <c r="U59" s="172" t="n"/>
      <c r="V59" s="172" t="n"/>
    </row>
    <row r="60" ht="18" customHeight="1" s="163">
      <c r="A60" s="172" t="n"/>
      <c r="B60" s="191" t="inlineStr">
        <is>
          <t>Savings</t>
        </is>
      </c>
      <c r="C60" s="309">
        <f>C51</f>
        <v/>
      </c>
      <c r="D60" s="309">
        <f>D51</f>
        <v/>
      </c>
      <c r="E60" s="309">
        <f>E51</f>
        <v/>
      </c>
      <c r="F60" s="309">
        <f>F51</f>
        <v/>
      </c>
      <c r="G60" s="309">
        <f>G51</f>
        <v/>
      </c>
      <c r="H60" s="309">
        <f>H51</f>
        <v/>
      </c>
      <c r="I60" s="309">
        <f>I51</f>
        <v/>
      </c>
      <c r="J60" s="309">
        <f>J51</f>
        <v/>
      </c>
      <c r="K60" s="309">
        <f>K51</f>
        <v/>
      </c>
      <c r="L60" s="309">
        <f>L51</f>
        <v/>
      </c>
      <c r="M60" s="309">
        <f>M51</f>
        <v/>
      </c>
      <c r="N60" s="309">
        <f>N51</f>
        <v/>
      </c>
      <c r="O60" s="309">
        <f>O51</f>
        <v/>
      </c>
      <c r="P60" s="172" t="n"/>
      <c r="Q60" s="172" t="n"/>
      <c r="R60" s="172" t="n"/>
      <c r="S60" s="172" t="n"/>
      <c r="T60" s="172" t="n"/>
      <c r="U60" s="172" t="n"/>
      <c r="V60" s="172" t="n"/>
    </row>
    <row r="61" ht="18" customHeight="1" s="163">
      <c r="A61" s="172" t="n"/>
      <c r="B61" s="259" t="inlineStr">
        <is>
          <t>NET CASHFLOW (Surplus/Deficit)</t>
        </is>
      </c>
      <c r="C61" s="248">
        <f>C55-(C56+C57+C58+C59+C60)</f>
        <v/>
      </c>
      <c r="D61" s="248">
        <f>D55-(D56+D57+D58+D59+D60)</f>
        <v/>
      </c>
      <c r="E61" s="248">
        <f>E55-(E56+E57+E58+E59+E60)</f>
        <v/>
      </c>
      <c r="F61" s="248">
        <f>F55-(F56+F57+F58+F59+F60)</f>
        <v/>
      </c>
      <c r="G61" s="248">
        <f>G55-(G56+G57+G58+G59+G60)</f>
        <v/>
      </c>
      <c r="H61" s="248">
        <f>H55-(H56+H57+H58+H59+H60)</f>
        <v/>
      </c>
      <c r="I61" s="248">
        <f>I55-(I56+I57+I58+I59+I60)</f>
        <v/>
      </c>
      <c r="J61" s="248">
        <f>J55-(J56+J57+J58+J59+J60)</f>
        <v/>
      </c>
      <c r="K61" s="248">
        <f>K55-(K56+K57+K58+K59+K60)</f>
        <v/>
      </c>
      <c r="L61" s="248">
        <f>L55-(L56+L57+L58+L59+L60)</f>
        <v/>
      </c>
      <c r="M61" s="248">
        <f>M55-(M56+M57+M58+M59+M60)</f>
        <v/>
      </c>
      <c r="N61" s="248">
        <f>N55-(N56+N57+N58+N59+N60)</f>
        <v/>
      </c>
      <c r="O61" s="248">
        <f>O55-O56-O57-O58-O59-O60</f>
        <v/>
      </c>
      <c r="P61" s="172" t="n"/>
      <c r="Q61" s="172" t="n"/>
      <c r="R61" s="172" t="n"/>
      <c r="S61" s="172" t="n"/>
      <c r="T61" s="172" t="n"/>
      <c r="U61" s="172" t="n"/>
      <c r="V61" s="172" t="n"/>
    </row>
    <row r="62">
      <c r="A62" s="172" t="n"/>
      <c r="B62" s="172" t="n"/>
      <c r="C62" s="172" t="n"/>
      <c r="D62" s="172" t="n"/>
      <c r="E62" s="172" t="n"/>
      <c r="F62" s="172" t="n"/>
      <c r="G62" s="172" t="n"/>
      <c r="H62" s="172" t="n"/>
      <c r="I62" s="172" t="n"/>
      <c r="J62" s="172" t="n"/>
      <c r="K62" s="172" t="n"/>
      <c r="L62" s="172" t="n"/>
      <c r="M62" s="172" t="n"/>
      <c r="N62" s="172" t="n"/>
      <c r="O62" s="172" t="n"/>
      <c r="P62" s="172" t="n"/>
      <c r="Q62" s="172" t="n"/>
      <c r="R62" s="172" t="n"/>
      <c r="S62" s="172" t="n"/>
      <c r="T62" s="172" t="n"/>
      <c r="U62" s="172" t="n"/>
      <c r="V62" s="172" t="n"/>
    </row>
    <row r="63">
      <c r="A63" s="172" t="n"/>
      <c r="B63" s="172" t="n"/>
      <c r="C63" s="172" t="n"/>
      <c r="D63" s="172" t="n"/>
      <c r="E63" s="172" t="n"/>
      <c r="F63" s="172" t="n"/>
      <c r="G63" s="172" t="n"/>
      <c r="H63" s="172" t="n"/>
      <c r="I63" s="172" t="n"/>
      <c r="J63" s="172" t="n"/>
      <c r="K63" s="172" t="n"/>
      <c r="L63" s="172" t="n"/>
      <c r="M63" s="172" t="n"/>
      <c r="N63" s="172" t="n"/>
      <c r="O63" s="172" t="n"/>
      <c r="P63" s="172" t="n"/>
      <c r="Q63" s="172" t="n"/>
      <c r="R63" s="172" t="n"/>
      <c r="S63" s="172" t="n"/>
      <c r="T63" s="172" t="n"/>
      <c r="U63" s="172" t="n"/>
      <c r="V63" s="172" t="n"/>
    </row>
    <row r="64" ht="18" customHeight="1" s="163">
      <c r="A64" s="172" t="n"/>
      <c r="B64" s="202" t="inlineStr">
        <is>
          <t>📋 HOW TO USE — MONTHLY CASHFLOW</t>
        </is>
      </c>
      <c r="C64" s="203" t="n"/>
      <c r="D64" s="203" t="n"/>
      <c r="E64" s="203" t="n"/>
      <c r="F64" s="203" t="n"/>
      <c r="G64" s="203" t="n"/>
      <c r="H64" s="203" t="n"/>
      <c r="I64" s="204" t="n"/>
      <c r="J64" s="172" t="n"/>
      <c r="K64" s="172" t="n"/>
      <c r="L64" s="172" t="n"/>
      <c r="M64" s="172" t="n"/>
      <c r="N64" s="172" t="n"/>
      <c r="O64" s="172" t="n"/>
      <c r="P64" s="172" t="n"/>
      <c r="Q64" s="172" t="n"/>
      <c r="R64" s="172" t="n"/>
      <c r="S64" s="172" t="n"/>
      <c r="T64" s="172" t="n"/>
      <c r="U64" s="172" t="n"/>
      <c r="V64" s="172" t="n"/>
    </row>
    <row r="65" ht="36" customHeight="1" s="163">
      <c r="A65" s="172" t="n"/>
      <c r="B65" s="205" t="inlineStr">
        <is>
          <t>Map expected income and expenses to the actual calendar month they occur. Reveals timing gaps the annual budget misses.</t>
        </is>
      </c>
      <c r="C65" s="204" t="n"/>
      <c r="D65" s="206" t="n"/>
      <c r="E65" s="203" t="n"/>
      <c r="F65" s="203" t="n"/>
      <c r="G65" s="203" t="n"/>
      <c r="H65" s="203" t="n"/>
      <c r="I65" s="204" t="n"/>
      <c r="J65" s="172" t="n"/>
      <c r="K65" s="172" t="n"/>
      <c r="L65" s="172" t="n"/>
      <c r="M65" s="172" t="n"/>
      <c r="N65" s="172" t="n"/>
      <c r="O65" s="172" t="n"/>
      <c r="P65" s="172" t="n"/>
      <c r="Q65" s="172" t="n"/>
      <c r="R65" s="172" t="n"/>
      <c r="S65" s="172" t="n"/>
      <c r="T65" s="172" t="n"/>
      <c r="U65" s="172" t="n"/>
      <c r="V65" s="172" t="n"/>
    </row>
    <row r="66" ht="18" customHeight="1" s="163">
      <c r="A66" s="172" t="n"/>
      <c r="B66" s="207" t="inlineStr">
        <is>
          <t>→  Income section</t>
        </is>
      </c>
      <c r="C66" s="204" t="n"/>
      <c r="D66" s="208" t="inlineStr">
        <is>
          <t>Enter expected NET income per month — use actuals once known</t>
        </is>
      </c>
      <c r="E66" s="203" t="n"/>
      <c r="F66" s="203" t="n"/>
      <c r="G66" s="203" t="n"/>
      <c r="H66" s="203" t="n"/>
      <c r="I66" s="204" t="n"/>
      <c r="J66" s="172" t="n"/>
      <c r="K66" s="172" t="n"/>
      <c r="L66" s="172" t="n"/>
      <c r="M66" s="172" t="n"/>
      <c r="N66" s="172" t="n"/>
      <c r="O66" s="172" t="n"/>
      <c r="P66" s="172" t="n"/>
      <c r="Q66" s="172" t="n"/>
      <c r="R66" s="172" t="n"/>
      <c r="S66" s="172" t="n"/>
      <c r="T66" s="172" t="n"/>
      <c r="U66" s="172" t="n"/>
      <c r="V66" s="172" t="n"/>
    </row>
    <row r="67" ht="18" customHeight="1" s="163">
      <c r="A67" s="172" t="n"/>
      <c r="B67" s="302" t="inlineStr">
        <is>
          <t>→  Education (school fees)</t>
        </is>
      </c>
      <c r="C67" s="204" t="n"/>
      <c r="D67" s="206" t="inlineStr">
        <is>
          <t>Australian school fees are Term-based: T1=Feb, T2=May, T3=Jul, T4=Oct</t>
        </is>
      </c>
      <c r="E67" s="203" t="n"/>
      <c r="F67" s="203" t="n"/>
      <c r="G67" s="203" t="n"/>
      <c r="H67" s="203" t="n"/>
      <c r="I67" s="204" t="n"/>
      <c r="J67" s="172" t="n"/>
      <c r="K67" s="172" t="n"/>
      <c r="L67" s="172" t="n"/>
      <c r="M67" s="172" t="n"/>
      <c r="N67" s="172" t="n"/>
      <c r="O67" s="172" t="n"/>
      <c r="P67" s="172" t="n"/>
      <c r="Q67" s="172" t="n"/>
      <c r="R67" s="172" t="n"/>
      <c r="S67" s="172" t="n"/>
      <c r="T67" s="172" t="n"/>
      <c r="U67" s="172" t="n"/>
      <c r="V67" s="172" t="n"/>
    </row>
    <row r="68" ht="18" customHeight="1" s="163">
      <c r="A68" s="172" t="n"/>
      <c r="B68" s="210" t="inlineStr">
        <is>
          <t>→  Irregular expenses</t>
        </is>
      </c>
      <c r="C68" s="204" t="n"/>
      <c r="D68" s="208" t="inlineStr">
        <is>
          <t>This is where Christmas, holidays, car rego all live — the 'ambush' expenses</t>
        </is>
      </c>
      <c r="E68" s="203" t="n"/>
      <c r="F68" s="203" t="n"/>
      <c r="G68" s="203" t="n"/>
      <c r="H68" s="203" t="n"/>
      <c r="I68" s="204" t="n"/>
      <c r="J68" s="172" t="n"/>
      <c r="K68" s="172" t="n"/>
      <c r="L68" s="172" t="n"/>
      <c r="M68" s="172" t="n"/>
      <c r="N68" s="172" t="n"/>
      <c r="O68" s="172" t="n"/>
      <c r="P68" s="172" t="n"/>
      <c r="Q68" s="172" t="n"/>
      <c r="R68" s="172" t="n"/>
      <c r="S68" s="172" t="n"/>
      <c r="T68" s="172" t="n"/>
      <c r="U68" s="172" t="n"/>
      <c r="V68" s="172" t="n"/>
    </row>
    <row r="69" ht="18" customHeight="1" s="163">
      <c r="A69" s="172" t="n"/>
      <c r="B69" s="209" t="inlineStr">
        <is>
          <t>→  Net Cashflow row</t>
        </is>
      </c>
      <c r="C69" s="204" t="n"/>
      <c r="D69" s="206" t="inlineStr">
        <is>
          <t>Positive = surplus, (brackets) = deficit. Red months need advance planning</t>
        </is>
      </c>
      <c r="E69" s="203" t="n"/>
      <c r="F69" s="203" t="n"/>
      <c r="G69" s="203" t="n"/>
      <c r="H69" s="203" t="n"/>
      <c r="I69" s="204" t="n"/>
      <c r="J69" s="172" t="n"/>
      <c r="K69" s="172" t="n"/>
      <c r="L69" s="172" t="n"/>
      <c r="M69" s="172" t="n"/>
      <c r="N69" s="172" t="n"/>
      <c r="O69" s="172" t="n"/>
      <c r="P69" s="172" t="n"/>
      <c r="Q69" s="172" t="n"/>
      <c r="R69" s="172" t="n"/>
      <c r="S69" s="172" t="n"/>
      <c r="T69" s="172" t="n"/>
      <c r="U69" s="172" t="n"/>
      <c r="V69" s="172" t="n"/>
    </row>
    <row r="70" ht="18" customHeight="1" s="163">
      <c r="A70" s="172" t="n"/>
      <c r="B70" s="210" t="inlineStr">
        <is>
          <t>→  Savings/Investments</t>
        </is>
      </c>
      <c r="C70" s="204" t="n"/>
      <c r="D70" s="208" t="inlineStr">
        <is>
          <t>Enter planned share purchases, extra super, holiday savings here</t>
        </is>
      </c>
      <c r="E70" s="203" t="n"/>
      <c r="F70" s="203" t="n"/>
      <c r="G70" s="203" t="n"/>
      <c r="H70" s="203" t="n"/>
      <c r="I70" s="204" t="n"/>
      <c r="J70" s="172" t="n"/>
      <c r="K70" s="172" t="n"/>
      <c r="L70" s="172" t="n"/>
      <c r="M70" s="172" t="n"/>
      <c r="N70" s="172" t="n"/>
      <c r="O70" s="172" t="n"/>
      <c r="P70" s="172" t="n"/>
      <c r="Q70" s="172" t="n"/>
      <c r="R70" s="172" t="n"/>
      <c r="S70" s="172" t="n"/>
      <c r="T70" s="172" t="n"/>
      <c r="U70" s="172" t="n"/>
      <c r="V70" s="172" t="n"/>
    </row>
    <row r="71" ht="18" customHeight="1" s="163">
      <c r="A71" s="172" t="n"/>
      <c r="B71" s="209" t="inlineStr">
        <is>
          <t>💡 Tip</t>
        </is>
      </c>
      <c r="C71" s="204" t="n"/>
      <c r="D71" s="206" t="inlineStr">
        <is>
          <t>Fill in Term 1 school fees in February, Term 4 in October, Christmas in December. These three months usually show the biggest deficits.</t>
        </is>
      </c>
      <c r="E71" s="203" t="n"/>
      <c r="F71" s="203" t="n"/>
      <c r="G71" s="203" t="n"/>
      <c r="H71" s="203" t="n"/>
      <c r="I71" s="204" t="n"/>
      <c r="J71" s="172" t="n"/>
      <c r="K71" s="172" t="n"/>
      <c r="L71" s="172" t="n"/>
      <c r="M71" s="172" t="n"/>
      <c r="N71" s="172" t="n"/>
      <c r="O71" s="172" t="n"/>
      <c r="P71" s="172" t="n"/>
      <c r="Q71" s="172" t="n"/>
      <c r="R71" s="172" t="n"/>
      <c r="S71" s="172" t="n"/>
      <c r="T71" s="172" t="n"/>
      <c r="U71" s="172" t="n"/>
      <c r="V71" s="172" t="n"/>
    </row>
    <row r="72">
      <c r="A72" s="172" t="n"/>
      <c r="B72" s="172" t="n"/>
      <c r="C72" s="172" t="n"/>
      <c r="D72" s="172" t="n"/>
      <c r="E72" s="172" t="n"/>
      <c r="F72" s="172" t="n"/>
      <c r="G72" s="172" t="n"/>
      <c r="H72" s="172" t="n"/>
      <c r="I72" s="172" t="n"/>
      <c r="J72" s="172" t="n"/>
      <c r="K72" s="172" t="n"/>
      <c r="L72" s="172" t="n"/>
      <c r="M72" s="172" t="n"/>
      <c r="N72" s="172" t="n"/>
      <c r="O72" s="172" t="n"/>
      <c r="P72" s="172" t="n"/>
      <c r="Q72" s="172" t="n"/>
      <c r="R72" s="172" t="n"/>
      <c r="S72" s="172" t="n"/>
      <c r="T72" s="172" t="n"/>
      <c r="U72" s="172" t="n"/>
      <c r="V72" s="172" t="n"/>
    </row>
    <row r="73" ht="1.5" customHeight="1" s="163">
      <c r="A73" s="172" t="n"/>
      <c r="B73" s="217" t="n"/>
      <c r="C73" s="217" t="n"/>
      <c r="D73" s="217" t="n"/>
      <c r="E73" s="217" t="n"/>
      <c r="F73" s="217" t="n"/>
      <c r="G73" s="217" t="n"/>
      <c r="H73" s="217" t="n"/>
      <c r="I73" s="217" t="n"/>
      <c r="J73" s="217" t="n"/>
      <c r="K73" s="217" t="n"/>
      <c r="L73" s="217" t="n"/>
      <c r="M73" s="217" t="n"/>
      <c r="N73" s="217" t="n"/>
      <c r="O73" s="217" t="n"/>
      <c r="P73" s="172" t="n"/>
      <c r="Q73" s="172" t="n"/>
      <c r="R73" s="172" t="n"/>
      <c r="S73" s="172" t="n"/>
      <c r="T73" s="172" t="n"/>
      <c r="U73" s="172" t="n"/>
      <c r="V73" s="172" t="n"/>
    </row>
    <row r="74" ht="18" customHeight="1" s="163">
      <c r="A74" s="172" t="n"/>
      <c r="B74" s="218">
        <f>"Prepared by Baobab Consulting  ·  Commercial in Confidence — "&amp;FamilyName&amp;" Group  ·  FY "&amp;FYYear</f>
        <v/>
      </c>
      <c r="C74" s="172" t="n"/>
      <c r="D74" s="172" t="n"/>
      <c r="E74" s="172" t="n"/>
      <c r="F74" s="172" t="n"/>
      <c r="G74" s="172" t="n"/>
      <c r="H74" s="172" t="n"/>
      <c r="I74" s="172" t="n"/>
      <c r="J74" s="172" t="n"/>
      <c r="K74" s="172" t="n"/>
      <c r="L74" s="172" t="n"/>
      <c r="M74" s="172" t="n"/>
      <c r="N74" s="172" t="n"/>
      <c r="O74" s="172" t="n"/>
      <c r="P74" s="172" t="n"/>
      <c r="Q74" s="172" t="n"/>
      <c r="R74" s="172" t="n"/>
      <c r="S74" s="172" t="n"/>
      <c r="T74" s="172" t="n"/>
      <c r="U74" s="172" t="n"/>
      <c r="V74" s="172" t="n"/>
    </row>
  </sheetData>
  <mergeCells count="20">
    <mergeCell ref="C2:R2"/>
    <mergeCell ref="D70:I70"/>
    <mergeCell ref="B66:C66"/>
    <mergeCell ref="D66:I66"/>
    <mergeCell ref="B3:R3"/>
    <mergeCell ref="B71:C71"/>
    <mergeCell ref="B70:C70"/>
    <mergeCell ref="B67:C67"/>
    <mergeCell ref="D71:I71"/>
    <mergeCell ref="D68:I68"/>
    <mergeCell ref="B69:C69"/>
    <mergeCell ref="B53:O53"/>
    <mergeCell ref="D67:I67"/>
    <mergeCell ref="B65:C65"/>
    <mergeCell ref="C1:R1"/>
    <mergeCell ref="D69:I69"/>
    <mergeCell ref="B74:O74"/>
    <mergeCell ref="B68:C68"/>
    <mergeCell ref="B64:I64"/>
    <mergeCell ref="D65:I65"/>
  </mergeCells>
  <printOptions horizontalCentered="0" verticalCentered="0" headings="0" gridLines="0" gridLinesSet="1"/>
  <pageMargins left="0.75" right="0.75" top="1" bottom="1" header="0.511805555555556" footer="0.511805555555556"/>
  <pageSetup orientation="portrait" paperSize="9" scale="100" fitToHeight="1" fitToWidth="1" pageOrder="downThenOver" blackAndWhite="0" draft="0" horizontalDpi="300" verticalDpi="300" copies="1"/>
  <headerFooter differentOddEven="0" differentFirst="0">
    <oddHeader>&amp;L&amp;"Calibri,Bold"&amp;9 Baobab Consulting  ·  CONFIDENTIAL&amp;R&amp;8 Page &amp;P of &amp;N  ·  FY &amp;D</oddHeader>
    <oddFooter>&amp;C&amp;"Calibri,Italic"&amp;7 © Baobab Group of Companies (Baobab CFO Pty Ltd Baobab Consulting). No unauthorised use or reproduction without prior written permission.</oddFooter>
    <evenHeader/>
    <evenFooter/>
    <firstHeader/>
    <firstFooter/>
  </headerFooter>
  <drawing xmlns:r="http://schemas.openxmlformats.org/officeDocument/2006/relationships" r:id="rId1"/>
</worksheet>
</file>

<file path=xl/worksheets/sheet8.xml><?xml version="1.0" encoding="utf-8"?>
<worksheet xmlns="http://schemas.openxmlformats.org/spreadsheetml/2006/main">
  <sheetPr filterMode="0">
    <outlinePr summaryBelow="1" summaryRight="1"/>
    <pageSetUpPr fitToPage="0"/>
  </sheetPr>
  <dimension ref="A1:P43"/>
  <sheetViews>
    <sheetView showFormulas="0" showGridLines="0" showRowColHeaders="1" showZeros="1" rightToLeft="0" tabSelected="0" showOutlineSymbols="1" defaultGridColor="1"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baseColWidth="8" defaultColWidth="8.71484375" defaultRowHeight="15" zeroHeight="0" outlineLevelRow="0"/>
  <cols>
    <col width="2" customWidth="1" style="162" min="1" max="1"/>
    <col width="30" customWidth="1" style="162" min="2" max="2"/>
    <col width="16" customWidth="1" style="162" min="3" max="3"/>
    <col width="13" customWidth="1" style="162" min="4" max="5"/>
    <col width="16" customWidth="1" style="162" min="6" max="6"/>
    <col width="12" customWidth="1" style="162" min="7" max="7"/>
    <col width="16" customWidth="1" style="162" min="8" max="8"/>
    <col width="13" customWidth="1" style="162" min="9" max="9"/>
  </cols>
  <sheetData>
    <row r="1" ht="90" customHeight="1" s="163">
      <c r="A1" s="179" t="n"/>
      <c r="B1" s="179" t="n"/>
      <c r="C1" s="180">
        <f>FamilyName&amp;" Group — Debt Schedule"</f>
        <v/>
      </c>
      <c r="D1" s="168" t="n"/>
      <c r="E1" s="168" t="n"/>
      <c r="F1" s="168" t="n"/>
      <c r="G1" s="168" t="n"/>
      <c r="H1" s="168" t="n"/>
      <c r="I1" s="168" t="n"/>
      <c r="J1" s="168" t="n"/>
      <c r="K1" s="168" t="n"/>
      <c r="L1" s="168" t="n"/>
      <c r="M1" s="179" t="n"/>
      <c r="N1" s="179" t="n"/>
      <c r="O1" s="179" t="n"/>
      <c r="P1" s="181" t="n"/>
    </row>
    <row r="2" ht="18" customHeight="1" s="163">
      <c r="A2" s="182" t="n"/>
      <c r="B2" s="182" t="n"/>
      <c r="C2" s="183">
        <f>"FY "&amp;FYYear&amp;"  ·  Baobab Consulting  ·  Confidential"</f>
        <v/>
      </c>
      <c r="D2" s="170" t="n"/>
      <c r="E2" s="170" t="n"/>
      <c r="F2" s="170" t="n"/>
      <c r="G2" s="170" t="n"/>
      <c r="H2" s="170" t="n"/>
      <c r="I2" s="170" t="n"/>
      <c r="J2" s="170" t="n"/>
      <c r="K2" s="170" t="n"/>
      <c r="L2" s="170" t="n"/>
      <c r="M2" s="182" t="n"/>
      <c r="N2" s="182" t="n"/>
      <c r="O2" s="182" t="n"/>
      <c r="P2" s="181" t="n"/>
    </row>
    <row r="3" ht="13.5" customHeight="1" s="163">
      <c r="A3" s="184" t="n"/>
      <c r="B3" s="171" t="inlineStr">
        <is>
          <t>© Baobab Group of Companies (incl. Baobab CFO Pty Ltd &amp; Baobab Consulting). No unauthorised use or reproduction without prior written permission.</t>
        </is>
      </c>
      <c r="C3" s="172" t="n"/>
      <c r="D3" s="172" t="n"/>
      <c r="E3" s="172" t="n"/>
      <c r="F3" s="172" t="n"/>
      <c r="G3" s="172" t="n"/>
      <c r="H3" s="172" t="n"/>
      <c r="I3" s="172" t="n"/>
      <c r="J3" s="172" t="n"/>
      <c r="K3" s="172" t="n"/>
      <c r="L3" s="172" t="n"/>
      <c r="M3" s="184" t="n"/>
      <c r="N3" s="184" t="n"/>
      <c r="O3" s="184" t="n"/>
      <c r="P3" s="181" t="n"/>
    </row>
    <row r="4" ht="30" customHeight="1" s="163">
      <c r="A4" s="172" t="n"/>
      <c r="B4" s="253" t="inlineStr">
        <is>
          <t>Property / Asset</t>
        </is>
      </c>
      <c r="C4" s="253" t="inlineStr">
        <is>
          <t>Loan Balance</t>
        </is>
      </c>
      <c r="D4" s="253" t="inlineStr">
        <is>
          <t>Interest Rate</t>
        </is>
      </c>
      <c r="E4" s="253" t="inlineStr">
        <is>
          <t>P &amp; I or IO</t>
        </is>
      </c>
      <c r="F4" s="253" t="inlineStr">
        <is>
          <t>Monthly Interest</t>
        </is>
      </c>
      <c r="G4" s="253" t="inlineStr">
        <is>
          <t>Loan Term (yrs)</t>
        </is>
      </c>
      <c r="H4" s="253" t="inlineStr">
        <is>
          <t>Monthly Repayment</t>
        </is>
      </c>
      <c r="I4" s="253" t="inlineStr">
        <is>
          <t>Type</t>
        </is>
      </c>
      <c r="J4" s="172" t="n"/>
      <c r="K4" s="172" t="n"/>
      <c r="L4" s="172" t="n"/>
      <c r="M4" s="172" t="n"/>
      <c r="N4" s="172" t="n"/>
      <c r="O4" s="172" t="n"/>
      <c r="P4" s="172" t="n"/>
    </row>
    <row r="5" ht="30" customHeight="1" s="163">
      <c r="A5" s="172" t="n"/>
      <c r="B5" s="187" t="inlineStr">
        <is>
          <t>INVESTMENT LOANS (Tax Deductible)</t>
        </is>
      </c>
      <c r="C5" s="198" t="n"/>
      <c r="D5" s="198" t="n"/>
      <c r="E5" s="198" t="n"/>
      <c r="F5" s="198" t="n"/>
      <c r="G5" s="198" t="n"/>
      <c r="H5" s="198" t="n"/>
      <c r="I5" s="199" t="n"/>
      <c r="J5" s="172" t="n"/>
      <c r="K5" s="172" t="n"/>
      <c r="L5" s="172" t="n"/>
      <c r="M5" s="172" t="n"/>
      <c r="N5" s="172" t="n"/>
      <c r="O5" s="172" t="n"/>
      <c r="P5" s="172" t="n"/>
    </row>
    <row r="6" ht="18" customHeight="1" s="163">
      <c r="A6" s="172" t="n"/>
      <c r="B6" s="275" t="inlineStr">
        <is>
          <t>e.g. Investment Property 1</t>
        </is>
      </c>
      <c r="C6" s="249" t="n">
        <v>0</v>
      </c>
      <c r="D6" s="310" t="n">
        <v>0</v>
      </c>
      <c r="E6" s="189" t="inlineStr">
        <is>
          <t>P&amp;I</t>
        </is>
      </c>
      <c r="F6" s="309">
        <f>IF(C6&gt;0,D6*C6/12,0)</f>
        <v/>
      </c>
      <c r="G6" s="311" t="n">
        <v>30</v>
      </c>
      <c r="H6" s="309">
        <f>IF(C6&gt;0,IF(E6="P&amp;I",PMT(D6/12,G6*12,-C6),D6*C6/12),0)</f>
        <v/>
      </c>
      <c r="I6" s="189" t="inlineStr">
        <is>
          <t>Investment</t>
        </is>
      </c>
      <c r="J6" s="172" t="n"/>
      <c r="K6" s="172" t="n"/>
      <c r="L6" s="172" t="n"/>
      <c r="M6" s="172" t="n"/>
      <c r="N6" s="172" t="n"/>
      <c r="O6" s="172" t="n"/>
      <c r="P6" s="172" t="n"/>
    </row>
    <row r="7" ht="18" customHeight="1" s="163">
      <c r="A7" s="172" t="n"/>
      <c r="B7" s="275" t="inlineStr">
        <is>
          <t>e.g. Investment Property 2</t>
        </is>
      </c>
      <c r="C7" s="249" t="n">
        <v>0</v>
      </c>
      <c r="D7" s="310" t="n">
        <v>0</v>
      </c>
      <c r="E7" s="189" t="inlineStr">
        <is>
          <t>P&amp;I</t>
        </is>
      </c>
      <c r="F7" s="312">
        <f>IF(C7&gt;0,D7*C7/12,0)</f>
        <v/>
      </c>
      <c r="G7" s="311" t="n">
        <v>30</v>
      </c>
      <c r="H7" s="312">
        <f>IF(C7&gt;0,IF(E7="P&amp;I",PMT(D7/12,G7*12,-C7),D7*C7/12),0)</f>
        <v/>
      </c>
      <c r="I7" s="189" t="inlineStr">
        <is>
          <t>Investment</t>
        </is>
      </c>
      <c r="J7" s="172" t="n"/>
      <c r="K7" s="172" t="n"/>
      <c r="L7" s="172" t="n"/>
      <c r="M7" s="172" t="n"/>
      <c r="N7" s="172" t="n"/>
      <c r="O7" s="172" t="n"/>
      <c r="P7" s="172" t="n"/>
    </row>
    <row r="8" ht="18" customHeight="1" s="163">
      <c r="A8" s="172" t="n"/>
      <c r="B8" s="275" t="inlineStr">
        <is>
          <t>e.g. Investment Property 3</t>
        </is>
      </c>
      <c r="C8" s="249" t="n">
        <v>0</v>
      </c>
      <c r="D8" s="310" t="n">
        <v>0</v>
      </c>
      <c r="E8" s="189" t="inlineStr">
        <is>
          <t>P&amp;I</t>
        </is>
      </c>
      <c r="F8" s="309">
        <f>IF(C8&gt;0,D8*C8/12,0)</f>
        <v/>
      </c>
      <c r="G8" s="311" t="n">
        <v>30</v>
      </c>
      <c r="H8" s="309">
        <f>IF(C8&gt;0,IF(E8="P&amp;I",PMT(D8/12,G8*12,-C8),D8*C8/12),0)</f>
        <v/>
      </c>
      <c r="I8" s="189" t="inlineStr">
        <is>
          <t>Investment</t>
        </is>
      </c>
      <c r="J8" s="172" t="n"/>
      <c r="K8" s="172" t="n"/>
      <c r="L8" s="172" t="n"/>
      <c r="M8" s="172" t="n"/>
      <c r="N8" s="172" t="n"/>
      <c r="O8" s="172" t="n"/>
      <c r="P8" s="172" t="n"/>
    </row>
    <row r="9" ht="18" customHeight="1" s="163">
      <c r="A9" s="172" t="n"/>
      <c r="B9" s="275" t="inlineStr">
        <is>
          <t>e.g. Investment Property 4</t>
        </is>
      </c>
      <c r="C9" s="249" t="n">
        <v>0</v>
      </c>
      <c r="D9" s="310" t="n">
        <v>0</v>
      </c>
      <c r="E9" s="189" t="inlineStr">
        <is>
          <t>P&amp;I</t>
        </is>
      </c>
      <c r="F9" s="312">
        <f>IF(C9&gt;0,D9*C9/12,0)</f>
        <v/>
      </c>
      <c r="G9" s="311" t="n">
        <v>30</v>
      </c>
      <c r="H9" s="312">
        <f>IF(C9&gt;0,IF(E9="P&amp;I",PMT(D9/12,G9*12,-C9),D9*C9/12),0)</f>
        <v/>
      </c>
      <c r="I9" s="189" t="inlineStr">
        <is>
          <t>Investment</t>
        </is>
      </c>
      <c r="J9" s="172" t="n"/>
      <c r="K9" s="172" t="n"/>
      <c r="L9" s="172" t="n"/>
      <c r="M9" s="172" t="n"/>
      <c r="N9" s="172" t="n"/>
      <c r="O9" s="172" t="n"/>
      <c r="P9" s="172" t="n"/>
    </row>
    <row r="10" ht="18" customHeight="1" s="163">
      <c r="A10" s="172" t="n"/>
      <c r="B10" s="275" t="inlineStr">
        <is>
          <t>e.g. Shares / Margin Loan</t>
        </is>
      </c>
      <c r="C10" s="249" t="n">
        <v>0</v>
      </c>
      <c r="D10" s="310" t="n">
        <v>0</v>
      </c>
      <c r="E10" s="189" t="inlineStr">
        <is>
          <t>P&amp;I</t>
        </is>
      </c>
      <c r="F10" s="309">
        <f>IF(C10&gt;0,D10*C10/12,0)</f>
        <v/>
      </c>
      <c r="G10" s="311" t="n">
        <v>30</v>
      </c>
      <c r="H10" s="309">
        <f>IF(C10&gt;0,IF(E10="P&amp;I",PMT(D10/12,G10*12,-C10),D10*C10/12),0)</f>
        <v/>
      </c>
      <c r="I10" s="189" t="inlineStr">
        <is>
          <t>Investment</t>
        </is>
      </c>
      <c r="J10" s="172" t="n"/>
      <c r="K10" s="172" t="n"/>
      <c r="L10" s="172" t="n"/>
      <c r="M10" s="172" t="n"/>
      <c r="N10" s="172" t="n"/>
      <c r="O10" s="172" t="n"/>
      <c r="P10" s="172" t="n"/>
    </row>
    <row r="11" ht="18" customHeight="1" s="163">
      <c r="A11" s="172" t="n"/>
      <c r="B11" s="275" t="inlineStr">
        <is>
          <t>e.g. Investment Property 5</t>
        </is>
      </c>
      <c r="C11" s="249" t="n">
        <v>0</v>
      </c>
      <c r="D11" s="310" t="n">
        <v>0</v>
      </c>
      <c r="E11" s="189" t="inlineStr">
        <is>
          <t>P&amp;I</t>
        </is>
      </c>
      <c r="F11" s="312">
        <f>IF(C11&gt;0,D11*C11/12,0)</f>
        <v/>
      </c>
      <c r="G11" s="311" t="n">
        <v>30</v>
      </c>
      <c r="H11" s="312">
        <f>IF(C11&gt;0,IF(E11="P&amp;I",PMT(D11/12,G11*12,-C11),D11*C11/12),0)</f>
        <v/>
      </c>
      <c r="I11" s="189" t="inlineStr">
        <is>
          <t>Investment</t>
        </is>
      </c>
      <c r="J11" s="172" t="n"/>
      <c r="K11" s="172" t="n"/>
      <c r="L11" s="172" t="n"/>
      <c r="M11" s="172" t="n"/>
      <c r="N11" s="172" t="n"/>
      <c r="O11" s="172" t="n"/>
      <c r="P11" s="172" t="n"/>
    </row>
    <row r="12" ht="18" customHeight="1" s="163">
      <c r="A12" s="172" t="n"/>
      <c r="B12" s="275" t="inlineStr">
        <is>
          <t>e.g. Other Investment</t>
        </is>
      </c>
      <c r="C12" s="249" t="n">
        <v>0</v>
      </c>
      <c r="D12" s="310" t="n">
        <v>0</v>
      </c>
      <c r="E12" s="189" t="inlineStr">
        <is>
          <t>P&amp;I</t>
        </is>
      </c>
      <c r="F12" s="309">
        <f>IF(C12&gt;0,D12*C12/12,0)</f>
        <v/>
      </c>
      <c r="G12" s="311" t="n">
        <v>30</v>
      </c>
      <c r="H12" s="309">
        <f>IF(C12&gt;0,IF(E12="P&amp;I",PMT(D12/12,G12*12,-C12),D12*C12/12),0)</f>
        <v/>
      </c>
      <c r="I12" s="189" t="inlineStr">
        <is>
          <t>Investment</t>
        </is>
      </c>
      <c r="J12" s="172" t="n"/>
      <c r="K12" s="172" t="n"/>
      <c r="L12" s="172" t="n"/>
      <c r="M12" s="172" t="n"/>
      <c r="N12" s="172" t="n"/>
      <c r="O12" s="172" t="n"/>
      <c r="P12" s="172" t="n"/>
    </row>
    <row r="13" ht="18" customHeight="1" s="163">
      <c r="A13" s="172" t="n"/>
      <c r="B13" s="275" t="n"/>
      <c r="C13" s="249" t="n">
        <v>0</v>
      </c>
      <c r="D13" s="310" t="n">
        <v>0</v>
      </c>
      <c r="E13" s="189" t="inlineStr">
        <is>
          <t>P&amp;I</t>
        </is>
      </c>
      <c r="F13" s="312">
        <f>IF(C13&gt;0,D13*C13/12,0)</f>
        <v/>
      </c>
      <c r="G13" s="311" t="n">
        <v>30</v>
      </c>
      <c r="H13" s="312">
        <f>IF(C13&gt;0,IF(E13="P&amp;I",PMT(D13/12,G13*12,-C13),D13*C13/12),0)</f>
        <v/>
      </c>
      <c r="I13" s="189" t="inlineStr">
        <is>
          <t>Investment</t>
        </is>
      </c>
      <c r="J13" s="172" t="n"/>
      <c r="K13" s="172" t="n"/>
      <c r="L13" s="172" t="n"/>
      <c r="M13" s="172" t="n"/>
      <c r="N13" s="172" t="n"/>
      <c r="O13" s="172" t="n"/>
      <c r="P13" s="172" t="n"/>
    </row>
    <row r="14" ht="18" customHeight="1" s="163">
      <c r="A14" s="172" t="n"/>
      <c r="B14" s="275" t="n"/>
      <c r="C14" s="249" t="n">
        <v>0</v>
      </c>
      <c r="D14" s="310" t="n">
        <v>0</v>
      </c>
      <c r="E14" s="189" t="inlineStr">
        <is>
          <t>P&amp;I</t>
        </is>
      </c>
      <c r="F14" s="309">
        <f>IF(C14&gt;0,D14*C14/12,0)</f>
        <v/>
      </c>
      <c r="G14" s="311" t="n">
        <v>30</v>
      </c>
      <c r="H14" s="309">
        <f>IF(C14&gt;0,IF(E14="P&amp;I",PMT(D14/12,G14*12,-C14),D14*C14/12),0)</f>
        <v/>
      </c>
      <c r="I14" s="189" t="inlineStr">
        <is>
          <t>Investment</t>
        </is>
      </c>
      <c r="J14" s="172" t="n"/>
      <c r="K14" s="172" t="n"/>
      <c r="L14" s="172" t="n"/>
      <c r="M14" s="172" t="n"/>
      <c r="N14" s="172" t="n"/>
      <c r="O14" s="172" t="n"/>
      <c r="P14" s="172" t="n"/>
    </row>
    <row r="15" ht="18" customHeight="1" s="163">
      <c r="A15" s="172" t="n"/>
      <c r="B15" s="275" t="n"/>
      <c r="C15" s="249" t="n">
        <v>0</v>
      </c>
      <c r="D15" s="310" t="n">
        <v>0</v>
      </c>
      <c r="E15" s="189" t="inlineStr">
        <is>
          <t>P&amp;I</t>
        </is>
      </c>
      <c r="F15" s="312">
        <f>IF(C15&gt;0,D15*C15/12,0)</f>
        <v/>
      </c>
      <c r="G15" s="311" t="n">
        <v>30</v>
      </c>
      <c r="H15" s="312">
        <f>IF(C15&gt;0,IF(E15="P&amp;I",PMT(D15/12,G15*12,-C15),D15*C15/12),0)</f>
        <v/>
      </c>
      <c r="I15" s="189" t="inlineStr">
        <is>
          <t>Investment</t>
        </is>
      </c>
      <c r="J15" s="172" t="n"/>
      <c r="K15" s="172" t="n"/>
      <c r="L15" s="172" t="n"/>
      <c r="M15" s="172" t="n"/>
      <c r="N15" s="172" t="n"/>
      <c r="O15" s="172" t="n"/>
      <c r="P15" s="172" t="n"/>
    </row>
    <row r="16" ht="18" customHeight="1" s="163">
      <c r="A16" s="172" t="n"/>
      <c r="B16" s="259" t="inlineStr">
        <is>
          <t>TOTAL INVESTMENT LOANS</t>
        </is>
      </c>
      <c r="C16" s="248">
        <f>SUM(C6:C15)</f>
        <v/>
      </c>
      <c r="D16" s="172" t="n"/>
      <c r="E16" s="313" t="n"/>
      <c r="F16" s="248">
        <f>SUM(F6:F15)</f>
        <v/>
      </c>
      <c r="G16" s="172" t="n"/>
      <c r="H16" s="248">
        <f>SUM(H6:H15)</f>
        <v/>
      </c>
      <c r="I16" s="313" t="n"/>
      <c r="J16" s="172" t="n"/>
      <c r="K16" s="172" t="n"/>
      <c r="L16" s="172" t="n"/>
      <c r="M16" s="172" t="n"/>
      <c r="N16" s="172" t="n"/>
      <c r="O16" s="172" t="n"/>
      <c r="P16" s="172" t="n"/>
    </row>
    <row r="17" ht="15" customHeight="1" s="163">
      <c r="A17" s="172" t="n"/>
      <c r="B17" s="172" t="n"/>
      <c r="C17" s="172" t="n"/>
      <c r="D17" s="172" t="n"/>
      <c r="E17" s="313" t="n"/>
      <c r="F17" s="172" t="n"/>
      <c r="G17" s="172" t="n"/>
      <c r="H17" s="172" t="n"/>
      <c r="I17" s="313" t="n"/>
      <c r="J17" s="172" t="n"/>
      <c r="K17" s="172" t="n"/>
      <c r="L17" s="172" t="n"/>
      <c r="M17" s="172" t="n"/>
      <c r="N17" s="172" t="n"/>
      <c r="O17" s="172" t="n"/>
      <c r="P17" s="172" t="n"/>
    </row>
    <row r="18" ht="21.75" customHeight="1" s="163">
      <c r="A18" s="172" t="n"/>
      <c r="B18" s="314" t="inlineStr">
        <is>
          <t>PRIVATE / NON-DEDUCTIBLE LOANS</t>
        </is>
      </c>
      <c r="C18" s="198" t="n"/>
      <c r="D18" s="198" t="n"/>
      <c r="E18" s="198" t="n"/>
      <c r="F18" s="198" t="n"/>
      <c r="G18" s="198" t="n"/>
      <c r="H18" s="198" t="n"/>
      <c r="I18" s="315" t="n"/>
      <c r="J18" s="172" t="n"/>
      <c r="K18" s="172" t="n"/>
      <c r="L18" s="172" t="n"/>
      <c r="M18" s="172" t="n"/>
      <c r="N18" s="172" t="n"/>
      <c r="O18" s="172" t="n"/>
      <c r="P18" s="172" t="n"/>
    </row>
    <row r="19" ht="18" customHeight="1" s="163">
      <c r="A19" s="172" t="n"/>
      <c r="B19" s="275" t="inlineStr">
        <is>
          <t>e.g. Principal Residence (PPOR)</t>
        </is>
      </c>
      <c r="C19" s="249" t="n">
        <v>0</v>
      </c>
      <c r="D19" s="310" t="n">
        <v>0</v>
      </c>
      <c r="E19" s="189" t="inlineStr">
        <is>
          <t>P&amp;I</t>
        </is>
      </c>
      <c r="F19" s="312">
        <f>IF(C19&gt;0,D19*C19/12,0)</f>
        <v/>
      </c>
      <c r="G19" s="311" t="n">
        <v>30</v>
      </c>
      <c r="H19" s="312">
        <f>IF(C19&gt;0,IF(E19="P&amp;I",PMT(D19/12,G19*12,-C19),D19*C19/12),0)</f>
        <v/>
      </c>
      <c r="I19" s="189" t="inlineStr">
        <is>
          <t>Private</t>
        </is>
      </c>
      <c r="J19" s="172" t="n"/>
      <c r="K19" s="172" t="n"/>
      <c r="L19" s="172" t="n"/>
      <c r="M19" s="172" t="n"/>
      <c r="N19" s="172" t="n"/>
      <c r="O19" s="172" t="n"/>
      <c r="P19" s="172" t="n"/>
    </row>
    <row r="20" ht="18" customHeight="1" s="163">
      <c r="A20" s="172" t="n"/>
      <c r="B20" s="275" t="inlineStr">
        <is>
          <t>e.g. Vehicle Loan</t>
        </is>
      </c>
      <c r="C20" s="249" t="n">
        <v>0</v>
      </c>
      <c r="D20" s="310" t="n">
        <v>0</v>
      </c>
      <c r="E20" s="189" t="inlineStr">
        <is>
          <t>P&amp;I</t>
        </is>
      </c>
      <c r="F20" s="309">
        <f>IF(C20&gt;0,D20*C20/12,0)</f>
        <v/>
      </c>
      <c r="G20" s="311" t="n">
        <v>30</v>
      </c>
      <c r="H20" s="309">
        <f>IF(C20&gt;0,IF(E20="P&amp;I",PMT(D20/12,G20*12,-C20),D20*C20/12),0)</f>
        <v/>
      </c>
      <c r="I20" s="189" t="inlineStr">
        <is>
          <t>Private</t>
        </is>
      </c>
      <c r="J20" s="172" t="n"/>
      <c r="K20" s="172" t="n"/>
      <c r="L20" s="172" t="n"/>
      <c r="M20" s="172" t="n"/>
      <c r="N20" s="172" t="n"/>
      <c r="O20" s="172" t="n"/>
      <c r="P20" s="172" t="n"/>
    </row>
    <row r="21" ht="18" customHeight="1" s="163">
      <c r="A21" s="172" t="n"/>
      <c r="B21" s="275" t="inlineStr">
        <is>
          <t>e.g. Personal Loan</t>
        </is>
      </c>
      <c r="C21" s="249" t="n">
        <v>0</v>
      </c>
      <c r="D21" s="310" t="n">
        <v>0</v>
      </c>
      <c r="E21" s="189" t="inlineStr">
        <is>
          <t>P&amp;I</t>
        </is>
      </c>
      <c r="F21" s="312">
        <f>IF(C21&gt;0,D21*C21/12,0)</f>
        <v/>
      </c>
      <c r="G21" s="311" t="n">
        <v>30</v>
      </c>
      <c r="H21" s="312">
        <f>IF(C21&gt;0,IF(E21="P&amp;I",PMT(D21/12,G21*12,-C21),D21*C21/12),0)</f>
        <v/>
      </c>
      <c r="I21" s="189" t="inlineStr">
        <is>
          <t>Private</t>
        </is>
      </c>
      <c r="J21" s="172" t="n"/>
      <c r="K21" s="172" t="n"/>
      <c r="L21" s="172" t="n"/>
      <c r="M21" s="172" t="n"/>
      <c r="N21" s="172" t="n"/>
      <c r="O21" s="172" t="n"/>
      <c r="P21" s="172" t="n"/>
    </row>
    <row r="22" ht="18" customHeight="1" s="163">
      <c r="A22" s="172" t="n"/>
      <c r="B22" s="275" t="inlineStr">
        <is>
          <t>e.g. Credit Card</t>
        </is>
      </c>
      <c r="C22" s="249" t="n">
        <v>0</v>
      </c>
      <c r="D22" s="310" t="n">
        <v>0</v>
      </c>
      <c r="E22" s="189" t="inlineStr">
        <is>
          <t>P&amp;I</t>
        </is>
      </c>
      <c r="F22" s="309">
        <f>IF(C22&gt;0,D22*C22/12,0)</f>
        <v/>
      </c>
      <c r="G22" s="311" t="n">
        <v>30</v>
      </c>
      <c r="H22" s="309">
        <f>IF(C22&gt;0,IF(E22="P&amp;I",PMT(D22/12,G22*12,-C22),D22*C22/12),0)</f>
        <v/>
      </c>
      <c r="I22" s="189" t="inlineStr">
        <is>
          <t>Private</t>
        </is>
      </c>
      <c r="J22" s="172" t="n"/>
      <c r="K22" s="172" t="n"/>
      <c r="L22" s="172" t="n"/>
      <c r="M22" s="172" t="n"/>
      <c r="N22" s="172" t="n"/>
      <c r="O22" s="172" t="n"/>
      <c r="P22" s="172" t="n"/>
    </row>
    <row r="23" ht="18" customHeight="1" s="163">
      <c r="A23" s="172" t="n"/>
      <c r="B23" s="275" t="n"/>
      <c r="C23" s="249" t="n">
        <v>0</v>
      </c>
      <c r="D23" s="310" t="n">
        <v>0</v>
      </c>
      <c r="E23" s="189" t="inlineStr">
        <is>
          <t>P&amp;I</t>
        </is>
      </c>
      <c r="F23" s="312">
        <f>IF(C23&gt;0,D23*C23/12,0)</f>
        <v/>
      </c>
      <c r="G23" s="311" t="n">
        <v>30</v>
      </c>
      <c r="H23" s="312">
        <f>IF(C23&gt;0,IF(E23="P&amp;I",PMT(D23/12,G23*12,-C23),D23*C23/12),0)</f>
        <v/>
      </c>
      <c r="I23" s="189" t="inlineStr">
        <is>
          <t>Private</t>
        </is>
      </c>
      <c r="J23" s="172" t="n"/>
      <c r="K23" s="172" t="n"/>
      <c r="L23" s="172" t="n"/>
      <c r="M23" s="172" t="n"/>
      <c r="N23" s="172" t="n"/>
      <c r="O23" s="172" t="n"/>
      <c r="P23" s="172" t="n"/>
    </row>
    <row r="24" ht="18" customHeight="1" s="163">
      <c r="A24" s="172" t="n"/>
      <c r="B24" s="247" t="inlineStr">
        <is>
          <t>TOTAL PRIVATE LOANS</t>
        </is>
      </c>
      <c r="C24" s="248">
        <f>SUM(C19:C23)</f>
        <v/>
      </c>
      <c r="D24" s="172" t="n"/>
      <c r="E24" s="313" t="n"/>
      <c r="F24" s="248">
        <f>SUM(F19:F23)</f>
        <v/>
      </c>
      <c r="G24" s="172" t="n"/>
      <c r="H24" s="248">
        <f>SUM(H19:H23)</f>
        <v/>
      </c>
      <c r="I24" s="313" t="n"/>
      <c r="J24" s="172" t="n"/>
      <c r="K24" s="172" t="n"/>
      <c r="L24" s="172" t="n"/>
      <c r="M24" s="172" t="n"/>
      <c r="N24" s="172" t="n"/>
      <c r="O24" s="172" t="n"/>
      <c r="P24" s="172" t="n"/>
    </row>
    <row r="25" ht="15" customHeight="1" s="163">
      <c r="A25" s="172" t="n"/>
      <c r="B25" s="172" t="n"/>
      <c r="C25" s="172" t="n"/>
      <c r="D25" s="172" t="n"/>
      <c r="E25" s="313" t="n"/>
      <c r="F25" s="172" t="n"/>
      <c r="G25" s="172" t="n"/>
      <c r="H25" s="172" t="n"/>
      <c r="I25" s="313" t="n"/>
      <c r="J25" s="172" t="n"/>
      <c r="K25" s="172" t="n"/>
      <c r="L25" s="172" t="n"/>
      <c r="M25" s="172" t="n"/>
      <c r="N25" s="172" t="n"/>
      <c r="O25" s="172" t="n"/>
      <c r="P25" s="172" t="n"/>
    </row>
    <row r="26" ht="21.75" customHeight="1" s="163">
      <c r="A26" s="172" t="n"/>
      <c r="B26" s="250" t="inlineStr">
        <is>
          <t>COMBINED DEBT SUMMARY</t>
        </is>
      </c>
      <c r="C26" s="198" t="n"/>
      <c r="D26" s="198" t="n"/>
      <c r="E26" s="198" t="n"/>
      <c r="F26" s="198" t="n"/>
      <c r="G26" s="198" t="n"/>
      <c r="H26" s="198" t="n"/>
      <c r="I26" s="199" t="n"/>
      <c r="J26" s="172" t="n"/>
      <c r="K26" s="172" t="n"/>
      <c r="L26" s="172" t="n"/>
      <c r="M26" s="172" t="n"/>
      <c r="N26" s="172" t="n"/>
      <c r="O26" s="172" t="n"/>
      <c r="P26" s="172" t="n"/>
    </row>
    <row r="27" ht="18" customHeight="1" s="163">
      <c r="A27" s="172" t="n"/>
      <c r="B27" s="316" t="inlineStr">
        <is>
          <t>Total Loan Balance</t>
        </is>
      </c>
      <c r="C27" s="312">
        <f>C16</f>
        <v/>
      </c>
      <c r="D27" s="312">
        <f>C24</f>
        <v/>
      </c>
      <c r="E27" s="248">
        <f>C16+C24</f>
        <v/>
      </c>
      <c r="F27" s="172" t="n"/>
      <c r="G27" s="172" t="n"/>
      <c r="H27" s="172" t="n"/>
      <c r="I27" s="172" t="n"/>
      <c r="J27" s="172" t="n"/>
      <c r="K27" s="172" t="n"/>
      <c r="L27" s="172" t="n"/>
      <c r="M27" s="172" t="n"/>
      <c r="N27" s="172" t="n"/>
      <c r="O27" s="172" t="n"/>
      <c r="P27" s="172" t="n"/>
    </row>
    <row r="28" ht="18" customHeight="1" s="163">
      <c r="A28" s="172" t="n"/>
      <c r="B28" s="317" t="inlineStr">
        <is>
          <t>Total Monthly Interest</t>
        </is>
      </c>
      <c r="C28" s="309">
        <f>F16</f>
        <v/>
      </c>
      <c r="D28" s="309">
        <f>F24</f>
        <v/>
      </c>
      <c r="E28" s="248">
        <f>F16+F24</f>
        <v/>
      </c>
      <c r="F28" s="172" t="n"/>
      <c r="G28" s="172" t="n"/>
      <c r="H28" s="172" t="n"/>
      <c r="I28" s="172" t="n"/>
      <c r="J28" s="172" t="n"/>
      <c r="K28" s="172" t="n"/>
      <c r="L28" s="172" t="n"/>
      <c r="M28" s="172" t="n"/>
      <c r="N28" s="172" t="n"/>
      <c r="O28" s="172" t="n"/>
      <c r="P28" s="172" t="n"/>
    </row>
    <row r="29" ht="18" customHeight="1" s="163">
      <c r="A29" s="172" t="n"/>
      <c r="B29" s="318" t="inlineStr">
        <is>
          <t>Total Monthly Repayment</t>
        </is>
      </c>
      <c r="C29" s="312">
        <f>H16</f>
        <v/>
      </c>
      <c r="D29" s="312">
        <f>H24</f>
        <v/>
      </c>
      <c r="E29" s="248">
        <f>H16+H24</f>
        <v/>
      </c>
      <c r="F29" s="172" t="n"/>
      <c r="G29" s="172" t="n"/>
      <c r="H29" s="172" t="n"/>
      <c r="I29" s="172" t="n"/>
      <c r="J29" s="172" t="n"/>
      <c r="K29" s="172" t="n"/>
      <c r="L29" s="172" t="n"/>
      <c r="M29" s="172" t="n"/>
      <c r="N29" s="172" t="n"/>
      <c r="O29" s="172" t="n"/>
      <c r="P29" s="172" t="n"/>
    </row>
    <row r="30">
      <c r="A30" s="172" t="n"/>
      <c r="B30" s="172" t="n"/>
      <c r="C30" s="172" t="n"/>
      <c r="D30" s="172" t="n"/>
      <c r="E30" s="172" t="n"/>
      <c r="F30" s="172" t="n"/>
      <c r="G30" s="172" t="n"/>
      <c r="H30" s="172" t="n"/>
      <c r="I30" s="172" t="n"/>
      <c r="J30" s="172" t="n"/>
      <c r="K30" s="172" t="n"/>
      <c r="L30" s="172" t="n"/>
      <c r="M30" s="172" t="n"/>
      <c r="N30" s="172" t="n"/>
      <c r="O30" s="172" t="n"/>
      <c r="P30" s="172" t="n"/>
    </row>
    <row r="31">
      <c r="A31" s="172" t="n"/>
      <c r="B31" s="172" t="n"/>
      <c r="C31" s="172" t="n"/>
      <c r="D31" s="172" t="n"/>
      <c r="E31" s="172" t="n"/>
      <c r="F31" s="172" t="n"/>
      <c r="G31" s="172" t="n"/>
      <c r="H31" s="172" t="n"/>
      <c r="I31" s="172" t="n"/>
      <c r="J31" s="172" t="n"/>
      <c r="K31" s="172" t="n"/>
      <c r="L31" s="172" t="n"/>
      <c r="M31" s="172" t="n"/>
      <c r="N31" s="172" t="n"/>
      <c r="O31" s="172" t="n"/>
      <c r="P31" s="172" t="n"/>
    </row>
    <row r="32" ht="18" customHeight="1" s="163">
      <c r="A32" s="172" t="n"/>
      <c r="B32" s="202" t="inlineStr">
        <is>
          <t>📋 HOW TO USE — DEBT SCHEDULE</t>
        </is>
      </c>
      <c r="C32" s="203" t="n"/>
      <c r="D32" s="203" t="n"/>
      <c r="E32" s="203" t="n"/>
      <c r="F32" s="203" t="n"/>
      <c r="G32" s="203" t="n"/>
      <c r="H32" s="203" t="n"/>
      <c r="I32" s="204" t="n"/>
      <c r="J32" s="172" t="n"/>
      <c r="K32" s="172" t="n"/>
      <c r="L32" s="172" t="n"/>
      <c r="M32" s="172" t="n"/>
      <c r="N32" s="172" t="n"/>
      <c r="O32" s="172" t="n"/>
      <c r="P32" s="172" t="n"/>
    </row>
    <row r="33" ht="36" customHeight="1" s="163">
      <c r="A33" s="172" t="n"/>
      <c r="B33" s="205" t="inlineStr">
        <is>
          <t>Enter loan details. Monthly repayment calculates automatically using PMT formula.</t>
        </is>
      </c>
      <c r="C33" s="204" t="n"/>
      <c r="D33" s="206" t="n"/>
      <c r="E33" s="203" t="n"/>
      <c r="F33" s="203" t="n"/>
      <c r="G33" s="203" t="n"/>
      <c r="H33" s="203" t="n"/>
      <c r="I33" s="204" t="n"/>
      <c r="J33" s="172" t="n"/>
      <c r="K33" s="172" t="n"/>
      <c r="L33" s="172" t="n"/>
      <c r="M33" s="172" t="n"/>
      <c r="N33" s="172" t="n"/>
      <c r="O33" s="172" t="n"/>
      <c r="P33" s="172" t="n"/>
    </row>
    <row r="34" ht="18" customHeight="1" s="163">
      <c r="A34" s="172" t="n"/>
      <c r="B34" s="210" t="inlineStr">
        <is>
          <t>→  Investment Loans section</t>
        </is>
      </c>
      <c r="C34" s="204" t="n"/>
      <c r="D34" s="208" t="inlineStr">
        <is>
          <t>All loans where interest is tax-deductible (rental properties, investment shares)</t>
        </is>
      </c>
      <c r="E34" s="203" t="n"/>
      <c r="F34" s="203" t="n"/>
      <c r="G34" s="203" t="n"/>
      <c r="H34" s="203" t="n"/>
      <c r="I34" s="204" t="n"/>
      <c r="J34" s="172" t="n"/>
      <c r="K34" s="172" t="n"/>
      <c r="L34" s="172" t="n"/>
      <c r="M34" s="172" t="n"/>
      <c r="N34" s="172" t="n"/>
      <c r="O34" s="172" t="n"/>
      <c r="P34" s="172" t="n"/>
    </row>
    <row r="35" ht="18" customHeight="1" s="163">
      <c r="A35" s="172" t="n"/>
      <c r="B35" s="302" t="inlineStr">
        <is>
          <t>→  Private Loans section</t>
        </is>
      </c>
      <c r="C35" s="204" t="n"/>
      <c r="D35" s="206" t="inlineStr">
        <is>
          <t>Home loan (PPOR), car loans, personal loans — interest NOT deductible</t>
        </is>
      </c>
      <c r="E35" s="203" t="n"/>
      <c r="F35" s="203" t="n"/>
      <c r="G35" s="203" t="n"/>
      <c r="H35" s="203" t="n"/>
      <c r="I35" s="204" t="n"/>
      <c r="J35" s="172" t="n"/>
      <c r="K35" s="172" t="n"/>
      <c r="L35" s="172" t="n"/>
      <c r="M35" s="172" t="n"/>
      <c r="N35" s="172" t="n"/>
      <c r="O35" s="172" t="n"/>
      <c r="P35" s="172" t="n"/>
    </row>
    <row r="36" ht="18" customHeight="1" s="163">
      <c r="A36" s="172" t="n"/>
      <c r="B36" s="207" t="inlineStr">
        <is>
          <t>→  Interest Rate</t>
        </is>
      </c>
      <c r="C36" s="204" t="n"/>
      <c r="D36" s="208" t="inlineStr">
        <is>
          <t>Enter as a decimal e.g. 6.2% = enter 0.062 — or Excel format 6.20%</t>
        </is>
      </c>
      <c r="E36" s="203" t="n"/>
      <c r="F36" s="203" t="n"/>
      <c r="G36" s="203" t="n"/>
      <c r="H36" s="203" t="n"/>
      <c r="I36" s="204" t="n"/>
      <c r="J36" s="172" t="n"/>
      <c r="K36" s="172" t="n"/>
      <c r="L36" s="172" t="n"/>
      <c r="M36" s="172" t="n"/>
      <c r="N36" s="172" t="n"/>
      <c r="O36" s="172" t="n"/>
      <c r="P36" s="172" t="n"/>
    </row>
    <row r="37" ht="18" customHeight="1" s="163">
      <c r="A37" s="172" t="n"/>
      <c r="B37" s="209" t="inlineStr">
        <is>
          <t>→  P&amp;I or IO</t>
        </is>
      </c>
      <c r="C37" s="204" t="n"/>
      <c r="D37" s="206" t="inlineStr">
        <is>
          <t>Enter 'P&amp;I' for principal + interest, or 'IO' for interest-only loans</t>
        </is>
      </c>
      <c r="E37" s="203" t="n"/>
      <c r="F37" s="203" t="n"/>
      <c r="G37" s="203" t="n"/>
      <c r="H37" s="203" t="n"/>
      <c r="I37" s="204" t="n"/>
      <c r="J37" s="172" t="n"/>
      <c r="K37" s="172" t="n"/>
      <c r="L37" s="172" t="n"/>
      <c r="M37" s="172" t="n"/>
      <c r="N37" s="172" t="n"/>
      <c r="O37" s="172" t="n"/>
      <c r="P37" s="172" t="n"/>
    </row>
    <row r="38" ht="18" customHeight="1" s="163">
      <c r="A38" s="172" t="n"/>
      <c r="B38" s="207" t="inlineStr">
        <is>
          <t>→  Monthly Repayment</t>
        </is>
      </c>
      <c r="C38" s="204" t="n"/>
      <c r="D38" s="208" t="inlineStr">
        <is>
          <t>Auto-calculated via PMT — compare to your actual bank statement</t>
        </is>
      </c>
      <c r="E38" s="203" t="n"/>
      <c r="F38" s="203" t="n"/>
      <c r="G38" s="203" t="n"/>
      <c r="H38" s="203" t="n"/>
      <c r="I38" s="204" t="n"/>
      <c r="J38" s="172" t="n"/>
      <c r="K38" s="172" t="n"/>
      <c r="L38" s="172" t="n"/>
      <c r="M38" s="172" t="n"/>
      <c r="N38" s="172" t="n"/>
      <c r="O38" s="172" t="n"/>
      <c r="P38" s="172" t="n"/>
    </row>
    <row r="39" ht="18" customHeight="1" s="163">
      <c r="A39" s="172" t="n"/>
      <c r="B39" s="209" t="inlineStr">
        <is>
          <t>→  Loan Term</t>
        </is>
      </c>
      <c r="C39" s="204" t="n"/>
      <c r="D39" s="206" t="inlineStr">
        <is>
          <t>Enter remaining years (e.g. 25 if 5 years into a 30-year loan)</t>
        </is>
      </c>
      <c r="E39" s="203" t="n"/>
      <c r="F39" s="203" t="n"/>
      <c r="G39" s="203" t="n"/>
      <c r="H39" s="203" t="n"/>
      <c r="I39" s="204" t="n"/>
      <c r="J39" s="172" t="n"/>
      <c r="K39" s="172" t="n"/>
      <c r="L39" s="172" t="n"/>
      <c r="M39" s="172" t="n"/>
      <c r="N39" s="172" t="n"/>
      <c r="O39" s="172" t="n"/>
      <c r="P39" s="172" t="n"/>
    </row>
    <row r="40" ht="18" customHeight="1" s="163">
      <c r="A40" s="172" t="n"/>
      <c r="B40" s="207" t="inlineStr">
        <is>
          <t>💡 Tip</t>
        </is>
      </c>
      <c r="C40" s="204" t="n"/>
      <c r="D40" s="208" t="inlineStr">
        <is>
          <t>For interest-only loans, the repayment = interest only. Ensure 'IO' is entered in the P&amp;I column.</t>
        </is>
      </c>
      <c r="E40" s="203" t="n"/>
      <c r="F40" s="203" t="n"/>
      <c r="G40" s="203" t="n"/>
      <c r="H40" s="203" t="n"/>
      <c r="I40" s="204" t="n"/>
      <c r="J40" s="172" t="n"/>
      <c r="K40" s="172" t="n"/>
      <c r="L40" s="172" t="n"/>
      <c r="M40" s="172" t="n"/>
      <c r="N40" s="172" t="n"/>
      <c r="O40" s="172" t="n"/>
      <c r="P40" s="172" t="n"/>
    </row>
    <row r="41">
      <c r="A41" s="172" t="n"/>
      <c r="B41" s="172" t="n"/>
      <c r="C41" s="172" t="n"/>
      <c r="D41" s="172" t="n"/>
      <c r="E41" s="172" t="n"/>
      <c r="F41" s="172" t="n"/>
      <c r="G41" s="172" t="n"/>
      <c r="H41" s="172" t="n"/>
      <c r="I41" s="172" t="n"/>
      <c r="J41" s="172" t="n"/>
      <c r="K41" s="172" t="n"/>
      <c r="L41" s="172" t="n"/>
      <c r="M41" s="172" t="n"/>
      <c r="N41" s="172" t="n"/>
      <c r="O41" s="172" t="n"/>
      <c r="P41" s="172" t="n"/>
    </row>
    <row r="42" ht="1.5" customHeight="1" s="163">
      <c r="A42" s="172" t="n"/>
      <c r="B42" s="217" t="n"/>
      <c r="C42" s="217" t="n"/>
      <c r="D42" s="217" t="n"/>
      <c r="E42" s="217" t="n"/>
      <c r="F42" s="217" t="n"/>
      <c r="G42" s="217" t="n"/>
      <c r="H42" s="217" t="n"/>
      <c r="I42" s="217" t="n"/>
      <c r="J42" s="172" t="n"/>
      <c r="K42" s="172" t="n"/>
      <c r="L42" s="172" t="n"/>
      <c r="M42" s="172" t="n"/>
      <c r="N42" s="172" t="n"/>
      <c r="O42" s="172" t="n"/>
      <c r="P42" s="172" t="n"/>
    </row>
    <row r="43" ht="18" customHeight="1" s="163">
      <c r="A43" s="172" t="n"/>
      <c r="B43" s="218">
        <f>"Prepared by Baobab Consulting  ·  Commercial in Confidence — "&amp;FamilyName&amp;" Group  ·  FY "&amp;FYYear</f>
        <v/>
      </c>
      <c r="C43" s="172" t="n"/>
      <c r="D43" s="172" t="n"/>
      <c r="E43" s="172" t="n"/>
      <c r="F43" s="172" t="n"/>
      <c r="G43" s="172" t="n"/>
      <c r="H43" s="172" t="n"/>
      <c r="I43" s="172" t="n"/>
      <c r="J43" s="172" t="n"/>
      <c r="K43" s="172" t="n"/>
      <c r="L43" s="172" t="n"/>
      <c r="M43" s="172" t="n"/>
      <c r="N43" s="172" t="n"/>
      <c r="O43" s="172" t="n"/>
      <c r="P43" s="172" t="n"/>
    </row>
  </sheetData>
  <mergeCells count="24">
    <mergeCell ref="B3:L3"/>
    <mergeCell ref="B43:I43"/>
    <mergeCell ref="B39:C39"/>
    <mergeCell ref="B18:I18"/>
    <mergeCell ref="D37:I37"/>
    <mergeCell ref="D39:I39"/>
    <mergeCell ref="D33:I33"/>
    <mergeCell ref="B38:C38"/>
    <mergeCell ref="D38:I38"/>
    <mergeCell ref="B34:C34"/>
    <mergeCell ref="B37:C37"/>
    <mergeCell ref="D35:I35"/>
    <mergeCell ref="B40:C40"/>
    <mergeCell ref="C1:L1"/>
    <mergeCell ref="D34:I34"/>
    <mergeCell ref="B33:C33"/>
    <mergeCell ref="D40:I40"/>
    <mergeCell ref="B36:C36"/>
    <mergeCell ref="B5:I5"/>
    <mergeCell ref="D36:I36"/>
    <mergeCell ref="C2:L2"/>
    <mergeCell ref="B35:C35"/>
    <mergeCell ref="B32:I32"/>
    <mergeCell ref="B26:I26"/>
  </mergeCells>
  <printOptions horizontalCentered="0" verticalCentered="0" headings="0" gridLines="0" gridLinesSet="1"/>
  <pageMargins left="0.75" right="0.75" top="1" bottom="1" header="0.511805555555556" footer="0.511805555555556"/>
  <pageSetup orientation="portrait" paperSize="9" scale="100" fitToHeight="1" fitToWidth="1" pageOrder="downThenOver" blackAndWhite="0" draft="0" horizontalDpi="300" verticalDpi="300" copies="1"/>
  <headerFooter differentOddEven="0" differentFirst="0">
    <oddHeader>&amp;L&amp;"Calibri,Bold"&amp;9 Baobab Consulting  ·  CONFIDENTIAL&amp;R&amp;8 Page &amp;P of &amp;N  ·  FY &amp;D</oddHeader>
    <oddFooter>&amp;C&amp;"Calibri,Italic"&amp;7 © Baobab Group of Companies (Baobab CFO Pty Ltd Baobab Consulting). No unauthorised use or reproduction without prior written permission.</oddFooter>
    <evenHeader/>
    <evenFooter/>
    <firstHeader/>
    <firstFooter/>
  </headerFooter>
  <drawing xmlns:r="http://schemas.openxmlformats.org/officeDocument/2006/relationships" r:id="rId1"/>
</worksheet>
</file>

<file path=xl/worksheets/sheet9.xml><?xml version="1.0" encoding="utf-8"?>
<worksheet xmlns="http://schemas.openxmlformats.org/spreadsheetml/2006/main">
  <sheetPr filterMode="0">
    <outlinePr summaryBelow="1" summaryRight="1"/>
    <pageSetUpPr fitToPage="0"/>
  </sheetPr>
  <dimension ref="A1:V50"/>
  <sheetViews>
    <sheetView showFormulas="0" showGridLines="0" showRowColHeaders="1" showZeros="1" rightToLeft="0" tabSelected="0" showOutlineSymbols="1" defaultGridColor="1" view="normal" topLeftCell="A1" colorId="64" zoomScale="100" zoomScaleNormal="100" zoomScalePageLayoutView="100" workbookViewId="0">
      <pane xSplit="1" ySplit="4" topLeftCell="B27" activePane="bottomRight" state="frozen"/>
      <selection pane="topLeft" activeCell="A1" activeCellId="0" sqref="A1"/>
      <selection pane="topRight" activeCell="B1" activeCellId="0" sqref="B1"/>
      <selection pane="bottomLeft" activeCell="A27" activeCellId="0" sqref="A27"/>
      <selection pane="bottomRight" activeCell="B46" activeCellId="0" sqref="B46"/>
    </sheetView>
  </sheetViews>
  <sheetFormatPr baseColWidth="8" defaultColWidth="8.71484375" defaultRowHeight="15" zeroHeight="0" outlineLevelRow="0"/>
  <cols>
    <col width="2" customWidth="1" style="162" min="1" max="1"/>
    <col width="30" customWidth="1" style="162" min="2" max="2"/>
    <col width="14" customWidth="1" style="162" min="3" max="3"/>
    <col width="3" customWidth="1" style="162" min="4" max="4"/>
    <col width="26" customWidth="1" style="162" min="5" max="5"/>
    <col width="14" customWidth="1" style="162" min="6" max="6"/>
    <col width="3" customWidth="1" style="162" min="7" max="7"/>
    <col width="26" customWidth="1" style="162" min="8" max="8"/>
    <col width="14" customWidth="1" style="162" min="9" max="9"/>
    <col width="3" customWidth="1" style="162" min="10" max="10"/>
    <col width="26" customWidth="1" style="162" min="11" max="11"/>
    <col width="14" customWidth="1" style="162" min="12" max="12"/>
    <col width="3" customWidth="1" style="162" min="13" max="13"/>
    <col width="22" customWidth="1" style="162" min="14" max="14"/>
    <col width="14" customWidth="1" style="162" min="15" max="15"/>
  </cols>
  <sheetData>
    <row r="1" ht="90" customHeight="1" s="163">
      <c r="A1" s="179" t="n"/>
      <c r="B1" s="179" t="n"/>
      <c r="C1" s="180">
        <f>FamilyName&amp;" Group — Rental Property Schedules"</f>
        <v/>
      </c>
      <c r="D1" s="168" t="n"/>
      <c r="E1" s="168" t="n"/>
      <c r="F1" s="168" t="n"/>
      <c r="G1" s="168" t="n"/>
      <c r="H1" s="168" t="n"/>
      <c r="I1" s="168" t="n"/>
      <c r="J1" s="168" t="n"/>
      <c r="K1" s="168" t="n"/>
      <c r="L1" s="168" t="n"/>
      <c r="M1" s="168" t="n"/>
      <c r="N1" s="168" t="n"/>
      <c r="O1" s="168" t="n"/>
      <c r="P1" s="168" t="n"/>
      <c r="Q1" s="168" t="n"/>
      <c r="R1" s="168" t="n"/>
      <c r="S1" s="179" t="n"/>
      <c r="T1" s="179" t="n"/>
      <c r="U1" s="179" t="n"/>
      <c r="V1" s="181" t="n"/>
    </row>
    <row r="2" ht="18" customHeight="1" s="163">
      <c r="A2" s="182" t="n"/>
      <c r="B2" s="182" t="n"/>
      <c r="C2" s="183">
        <f>"FY "&amp;FYYear&amp;"  ·  Baobab Consulting  ·  Confidential"</f>
        <v/>
      </c>
      <c r="D2" s="170" t="n"/>
      <c r="E2" s="170" t="n"/>
      <c r="F2" s="170" t="n"/>
      <c r="G2" s="170" t="n"/>
      <c r="H2" s="170" t="n"/>
      <c r="I2" s="170" t="n"/>
      <c r="J2" s="170" t="n"/>
      <c r="K2" s="170" t="n"/>
      <c r="L2" s="170" t="n"/>
      <c r="M2" s="170" t="n"/>
      <c r="N2" s="170" t="n"/>
      <c r="O2" s="170" t="n"/>
      <c r="P2" s="170" t="n"/>
      <c r="Q2" s="170" t="n"/>
      <c r="R2" s="170" t="n"/>
      <c r="S2" s="182" t="n"/>
      <c r="T2" s="182" t="n"/>
      <c r="U2" s="182" t="n"/>
      <c r="V2" s="181" t="n"/>
    </row>
    <row r="3" ht="13.5" customHeight="1" s="163">
      <c r="A3" s="184" t="n"/>
      <c r="B3" s="171" t="inlineStr">
        <is>
          <t>© Baobab Group of Companies (incl. Baobab CFO Pty Ltd &amp; Baobab Consulting). No unauthorised use or reproduction without prior written permission.</t>
        </is>
      </c>
      <c r="C3" s="172" t="n"/>
      <c r="D3" s="172" t="n"/>
      <c r="E3" s="172" t="n"/>
      <c r="F3" s="172" t="n"/>
      <c r="G3" s="172" t="n"/>
      <c r="H3" s="172" t="n"/>
      <c r="I3" s="172" t="n"/>
      <c r="J3" s="172" t="n"/>
      <c r="K3" s="172" t="n"/>
      <c r="L3" s="172" t="n"/>
      <c r="M3" s="172" t="n"/>
      <c r="N3" s="172" t="n"/>
      <c r="O3" s="172" t="n"/>
      <c r="P3" s="172" t="n"/>
      <c r="Q3" s="172" t="n"/>
      <c r="R3" s="172" t="n"/>
      <c r="S3" s="184" t="n"/>
      <c r="T3" s="184" t="n"/>
      <c r="U3" s="184" t="n"/>
      <c r="V3" s="181" t="n"/>
    </row>
    <row r="4" ht="21.75" customHeight="1" s="163">
      <c r="A4" s="172" t="n"/>
      <c r="B4" s="185" t="inlineStr">
        <is>
          <t>Property 1</t>
        </is>
      </c>
      <c r="C4" s="172" t="n"/>
      <c r="D4" s="172" t="n"/>
      <c r="E4" s="185" t="inlineStr">
        <is>
          <t>Property 2</t>
        </is>
      </c>
      <c r="F4" s="172" t="n"/>
      <c r="G4" s="172" t="n"/>
      <c r="H4" s="185" t="inlineStr">
        <is>
          <t>Property 3</t>
        </is>
      </c>
      <c r="I4" s="172" t="n"/>
      <c r="J4" s="172" t="n"/>
      <c r="K4" s="185" t="inlineStr">
        <is>
          <t>Property 4</t>
        </is>
      </c>
      <c r="L4" s="172" t="n"/>
      <c r="M4" s="172" t="n"/>
      <c r="N4" s="172" t="n"/>
      <c r="O4" s="172" t="n"/>
      <c r="P4" s="172" t="n"/>
      <c r="Q4" s="172" t="n"/>
      <c r="R4" s="172" t="n"/>
      <c r="S4" s="172" t="n"/>
      <c r="T4" s="172" t="n"/>
      <c r="U4" s="172" t="n"/>
      <c r="V4" s="172" t="n"/>
    </row>
    <row r="5" ht="30" customHeight="1" s="163">
      <c r="A5" s="172" t="n"/>
      <c r="B5" s="187" t="inlineStr">
        <is>
          <t>Item</t>
        </is>
      </c>
      <c r="C5" s="187" t="inlineStr">
        <is>
          <t>Annual</t>
        </is>
      </c>
      <c r="D5" s="172" t="n"/>
      <c r="E5" s="187" t="inlineStr">
        <is>
          <t>Item</t>
        </is>
      </c>
      <c r="F5" s="187" t="inlineStr">
        <is>
          <t>Annual</t>
        </is>
      </c>
      <c r="G5" s="172" t="n"/>
      <c r="H5" s="187" t="inlineStr">
        <is>
          <t>Item</t>
        </is>
      </c>
      <c r="I5" s="187" t="inlineStr">
        <is>
          <t>Annual</t>
        </is>
      </c>
      <c r="J5" s="172" t="n"/>
      <c r="K5" s="187" t="inlineStr">
        <is>
          <t>Item</t>
        </is>
      </c>
      <c r="L5" s="187" t="inlineStr">
        <is>
          <t>Annual</t>
        </is>
      </c>
      <c r="M5" s="172" t="n"/>
      <c r="N5" s="187" t="inlineStr">
        <is>
          <t>Summary Item</t>
        </is>
      </c>
      <c r="O5" s="187" t="inlineStr">
        <is>
          <t>Total (4 props)</t>
        </is>
      </c>
      <c r="P5" s="172" t="n"/>
      <c r="Q5" s="172" t="n"/>
      <c r="R5" s="172" t="n"/>
      <c r="S5" s="172" t="n"/>
      <c r="T5" s="172" t="n"/>
      <c r="U5" s="172" t="n"/>
      <c r="V5" s="172" t="n"/>
    </row>
    <row r="6" ht="18" customHeight="1" s="163">
      <c r="A6" s="172" t="n"/>
      <c r="B6" s="305" t="inlineStr">
        <is>
          <t>Property Address:</t>
        </is>
      </c>
      <c r="C6" s="319" t="n"/>
      <c r="D6" s="172" t="n"/>
      <c r="E6" s="305" t="inlineStr">
        <is>
          <t>Property Address:</t>
        </is>
      </c>
      <c r="F6" s="319" t="n"/>
      <c r="G6" s="172" t="n"/>
      <c r="H6" s="305" t="inlineStr">
        <is>
          <t>Property Address:</t>
        </is>
      </c>
      <c r="I6" s="319" t="n"/>
      <c r="J6" s="172" t="n"/>
      <c r="K6" s="305" t="inlineStr">
        <is>
          <t>Property Address:</t>
        </is>
      </c>
      <c r="L6" s="319" t="n"/>
      <c r="M6" s="172" t="n"/>
      <c r="N6" s="172" t="n"/>
      <c r="O6" s="172" t="n"/>
      <c r="P6" s="172" t="n"/>
      <c r="Q6" s="172" t="n"/>
      <c r="R6" s="172" t="n"/>
      <c r="S6" s="172" t="n"/>
      <c r="T6" s="172" t="n"/>
      <c r="U6" s="172" t="n"/>
      <c r="V6" s="172" t="n"/>
    </row>
    <row r="7" ht="18" customHeight="1" s="163">
      <c r="A7" s="172" t="n"/>
      <c r="B7" s="188" t="inlineStr">
        <is>
          <t>Weeks Rented:</t>
        </is>
      </c>
      <c r="C7" s="311" t="n">
        <v>52</v>
      </c>
      <c r="D7" s="172" t="n"/>
      <c r="E7" s="188" t="inlineStr">
        <is>
          <t>Weeks Rented:</t>
        </is>
      </c>
      <c r="F7" s="311" t="n">
        <v>52</v>
      </c>
      <c r="G7" s="172" t="n"/>
      <c r="H7" s="188" t="inlineStr">
        <is>
          <t>Weeks Rented:</t>
        </is>
      </c>
      <c r="I7" s="311" t="n">
        <v>52</v>
      </c>
      <c r="J7" s="172" t="n"/>
      <c r="K7" s="188" t="inlineStr">
        <is>
          <t>Weeks Rented:</t>
        </is>
      </c>
      <c r="L7" s="311" t="n">
        <v>52</v>
      </c>
      <c r="M7" s="172" t="n"/>
      <c r="N7" s="172" t="n"/>
      <c r="O7" s="172" t="n"/>
      <c r="P7" s="172" t="n"/>
      <c r="Q7" s="172" t="n"/>
      <c r="R7" s="172" t="n"/>
      <c r="S7" s="172" t="n"/>
      <c r="T7" s="172" t="n"/>
      <c r="U7" s="172" t="n"/>
      <c r="V7" s="172" t="n"/>
    </row>
    <row r="8" ht="18" customHeight="1" s="163">
      <c r="A8" s="172" t="n"/>
      <c r="B8" s="188" t="inlineStr">
        <is>
          <t>Weekly Rent:</t>
        </is>
      </c>
      <c r="C8" s="249" t="n">
        <v>0</v>
      </c>
      <c r="D8" s="172" t="n"/>
      <c r="E8" s="188" t="inlineStr">
        <is>
          <t>Weekly Rent:</t>
        </is>
      </c>
      <c r="F8" s="249" t="n">
        <v>0</v>
      </c>
      <c r="G8" s="172" t="n"/>
      <c r="H8" s="188" t="inlineStr">
        <is>
          <t>Weekly Rent:</t>
        </is>
      </c>
      <c r="I8" s="249" t="n">
        <v>0</v>
      </c>
      <c r="J8" s="172" t="n"/>
      <c r="K8" s="188" t="inlineStr">
        <is>
          <t>Weekly Rent:</t>
        </is>
      </c>
      <c r="L8" s="249" t="n">
        <v>0</v>
      </c>
      <c r="M8" s="172" t="n"/>
      <c r="N8" s="186" t="inlineStr">
        <is>
          <t>PORTFOLIO SUMMARY</t>
        </is>
      </c>
      <c r="O8" s="199" t="n"/>
      <c r="P8" s="172" t="n"/>
      <c r="Q8" s="172" t="n"/>
      <c r="R8" s="172" t="n"/>
      <c r="S8" s="172" t="n"/>
      <c r="T8" s="172" t="n"/>
      <c r="U8" s="172" t="n"/>
      <c r="V8" s="172" t="n"/>
    </row>
    <row r="9" ht="18" customHeight="1" s="163">
      <c r="A9" s="172" t="n"/>
      <c r="B9" s="188" t="inlineStr">
        <is>
          <t>Ownership %</t>
        </is>
      </c>
      <c r="C9" s="311" t="n">
        <v>1</v>
      </c>
      <c r="D9" s="172" t="n"/>
      <c r="E9" s="188" t="inlineStr">
        <is>
          <t>Ownership %</t>
        </is>
      </c>
      <c r="F9" s="311" t="n">
        <v>1</v>
      </c>
      <c r="G9" s="172" t="n"/>
      <c r="H9" s="188" t="inlineStr">
        <is>
          <t>Ownership %</t>
        </is>
      </c>
      <c r="I9" s="311" t="n">
        <v>1</v>
      </c>
      <c r="J9" s="172" t="n"/>
      <c r="K9" s="188" t="inlineStr">
        <is>
          <t>Ownership %</t>
        </is>
      </c>
      <c r="L9" s="311" t="n">
        <v>1</v>
      </c>
      <c r="M9" s="172" t="n"/>
      <c r="N9" s="194" t="inlineStr">
        <is>
          <t>Total Rent Received</t>
        </is>
      </c>
      <c r="O9" s="312">
        <f>C11+F11+I11+L11</f>
        <v/>
      </c>
      <c r="P9" s="172" t="n"/>
      <c r="Q9" s="172" t="n"/>
      <c r="R9" s="172" t="n"/>
      <c r="S9" s="172" t="n"/>
      <c r="T9" s="172" t="n"/>
      <c r="U9" s="172" t="n"/>
      <c r="V9" s="172" t="n"/>
    </row>
    <row r="10" ht="21.75" customHeight="1" s="163">
      <c r="A10" s="172" t="n"/>
      <c r="B10" s="187" t="inlineStr">
        <is>
          <t>INCOME</t>
        </is>
      </c>
      <c r="C10" s="199" t="n"/>
      <c r="D10" s="172" t="n"/>
      <c r="E10" s="187" t="inlineStr">
        <is>
          <t>INCOME</t>
        </is>
      </c>
      <c r="F10" s="199" t="n"/>
      <c r="G10" s="172" t="n"/>
      <c r="H10" s="187" t="inlineStr">
        <is>
          <t>INCOME</t>
        </is>
      </c>
      <c r="I10" s="199" t="n"/>
      <c r="J10" s="172" t="n"/>
      <c r="K10" s="187" t="inlineStr">
        <is>
          <t>INCOME</t>
        </is>
      </c>
      <c r="L10" s="199" t="n"/>
      <c r="M10" s="172" t="n"/>
      <c r="N10" s="191" t="inlineStr">
        <is>
          <t>Total Expenses</t>
        </is>
      </c>
      <c r="O10" s="309">
        <f>C30+F30+I30+L30</f>
        <v/>
      </c>
      <c r="P10" s="172" t="n"/>
      <c r="Q10" s="172" t="n"/>
      <c r="R10" s="172" t="n"/>
      <c r="S10" s="172" t="n"/>
      <c r="T10" s="172" t="n"/>
      <c r="U10" s="172" t="n"/>
      <c r="V10" s="172" t="n"/>
    </row>
    <row r="11" ht="18" customHeight="1" s="163">
      <c r="A11" s="172" t="n"/>
      <c r="B11" s="191" t="inlineStr">
        <is>
          <t>Rent Received</t>
        </is>
      </c>
      <c r="C11" s="243">
        <f>C8*C7</f>
        <v/>
      </c>
      <c r="D11" s="172" t="n"/>
      <c r="E11" s="191" t="inlineStr">
        <is>
          <t>Rent Received</t>
        </is>
      </c>
      <c r="F11" s="243">
        <f>F8*F7</f>
        <v/>
      </c>
      <c r="G11" s="172" t="n"/>
      <c r="H11" s="191" t="inlineStr">
        <is>
          <t>Rent Received</t>
        </is>
      </c>
      <c r="I11" s="243">
        <f>I8*I7</f>
        <v/>
      </c>
      <c r="J11" s="172" t="n"/>
      <c r="K11" s="191" t="inlineStr">
        <is>
          <t>Rent Received</t>
        </is>
      </c>
      <c r="L11" s="243">
        <f>L8*L7</f>
        <v/>
      </c>
      <c r="M11" s="172" t="n"/>
      <c r="N11" s="316" t="inlineStr">
        <is>
          <t>Total Net (Your Share)</t>
        </is>
      </c>
      <c r="O11" s="248">
        <f>C32+F32+I32+L32</f>
        <v/>
      </c>
      <c r="P11" s="172" t="n"/>
      <c r="Q11" s="172" t="n"/>
      <c r="R11" s="172" t="n"/>
      <c r="S11" s="172" t="n"/>
      <c r="T11" s="172" t="n"/>
      <c r="U11" s="172" t="n"/>
      <c r="V11" s="172" t="n"/>
    </row>
    <row r="12" ht="21.75" customHeight="1" s="163">
      <c r="A12" s="172" t="n"/>
      <c r="B12" s="185" t="inlineStr">
        <is>
          <t>EXPENSES</t>
        </is>
      </c>
      <c r="C12" s="199" t="n"/>
      <c r="D12" s="172" t="n"/>
      <c r="E12" s="185" t="inlineStr">
        <is>
          <t>EXPENSES</t>
        </is>
      </c>
      <c r="F12" s="199" t="n"/>
      <c r="G12" s="172" t="n"/>
      <c r="H12" s="185" t="inlineStr">
        <is>
          <t>EXPENSES</t>
        </is>
      </c>
      <c r="I12" s="199" t="n"/>
      <c r="J12" s="172" t="n"/>
      <c r="K12" s="185" t="inlineStr">
        <is>
          <t>EXPENSES</t>
        </is>
      </c>
      <c r="L12" s="199" t="n"/>
      <c r="M12" s="172" t="n"/>
      <c r="N12" s="172" t="n"/>
      <c r="O12" s="172" t="n"/>
      <c r="P12" s="172" t="n"/>
      <c r="Q12" s="172" t="n"/>
      <c r="R12" s="172" t="n"/>
      <c r="S12" s="172" t="n"/>
      <c r="T12" s="172" t="n"/>
      <c r="U12" s="172" t="n"/>
      <c r="V12" s="172" t="n"/>
    </row>
    <row r="13" ht="18" customHeight="1" s="163">
      <c r="A13" s="172" t="n"/>
      <c r="B13" s="245" t="inlineStr">
        <is>
          <t>Advertising for Tenants</t>
        </is>
      </c>
      <c r="C13" s="312" t="n">
        <v>0</v>
      </c>
      <c r="D13" s="172" t="n"/>
      <c r="E13" s="194" t="inlineStr">
        <is>
          <t>Advertising for Tenants</t>
        </is>
      </c>
      <c r="F13" s="312" t="n">
        <v>0</v>
      </c>
      <c r="G13" s="172" t="n"/>
      <c r="H13" s="194" t="inlineStr">
        <is>
          <t>Advertising for Tenants</t>
        </is>
      </c>
      <c r="I13" s="312" t="n">
        <v>0</v>
      </c>
      <c r="J13" s="172" t="n"/>
      <c r="K13" s="194" t="inlineStr">
        <is>
          <t>Advertising for Tenants</t>
        </is>
      </c>
      <c r="L13" s="312" t="n">
        <v>0</v>
      </c>
      <c r="M13" s="172" t="n"/>
      <c r="N13" s="172" t="n"/>
      <c r="O13" s="172" t="n"/>
      <c r="P13" s="172" t="n"/>
      <c r="Q13" s="172" t="n"/>
      <c r="R13" s="172" t="n"/>
      <c r="S13" s="172" t="n"/>
      <c r="T13" s="172" t="n"/>
      <c r="U13" s="172" t="n"/>
      <c r="V13" s="172" t="n"/>
    </row>
    <row r="14" ht="18" customHeight="1" s="163">
      <c r="A14" s="172" t="n"/>
      <c r="B14" s="191" t="inlineStr">
        <is>
          <t>Body Corporate Fees</t>
        </is>
      </c>
      <c r="C14" s="309" t="n">
        <v>0</v>
      </c>
      <c r="D14" s="172" t="n"/>
      <c r="E14" s="191" t="inlineStr">
        <is>
          <t>Body Corporate Fees</t>
        </is>
      </c>
      <c r="F14" s="309" t="n">
        <v>0</v>
      </c>
      <c r="G14" s="172" t="n"/>
      <c r="H14" s="191" t="inlineStr">
        <is>
          <t>Body Corporate Fees</t>
        </is>
      </c>
      <c r="I14" s="309" t="n">
        <v>0</v>
      </c>
      <c r="J14" s="172" t="n"/>
      <c r="K14" s="191" t="inlineStr">
        <is>
          <t>Body Corporate Fees</t>
        </is>
      </c>
      <c r="L14" s="309" t="n">
        <v>0</v>
      </c>
      <c r="M14" s="172" t="n"/>
      <c r="N14" s="172" t="n"/>
      <c r="O14" s="172" t="n"/>
      <c r="P14" s="172" t="n"/>
      <c r="Q14" s="172" t="n"/>
      <c r="R14" s="172" t="n"/>
      <c r="S14" s="172" t="n"/>
      <c r="T14" s="172" t="n"/>
      <c r="U14" s="172" t="n"/>
      <c r="V14" s="172" t="n"/>
    </row>
    <row r="15" ht="18" customHeight="1" s="163">
      <c r="A15" s="172" t="n"/>
      <c r="B15" s="194" t="inlineStr">
        <is>
          <t>Borrowing Expenses</t>
        </is>
      </c>
      <c r="C15" s="312" t="n">
        <v>0</v>
      </c>
      <c r="D15" s="172" t="n"/>
      <c r="E15" s="194" t="inlineStr">
        <is>
          <t>Borrowing Expenses</t>
        </is>
      </c>
      <c r="F15" s="312" t="n">
        <v>0</v>
      </c>
      <c r="G15" s="172" t="n"/>
      <c r="H15" s="194" t="inlineStr">
        <is>
          <t>Borrowing Expenses</t>
        </is>
      </c>
      <c r="I15" s="312" t="n">
        <v>0</v>
      </c>
      <c r="J15" s="172" t="n"/>
      <c r="K15" s="194" t="inlineStr">
        <is>
          <t>Borrowing Expenses</t>
        </is>
      </c>
      <c r="L15" s="312" t="n">
        <v>0</v>
      </c>
      <c r="M15" s="172" t="n"/>
      <c r="N15" s="172" t="n"/>
      <c r="O15" s="172" t="n"/>
      <c r="P15" s="172" t="n"/>
      <c r="Q15" s="172" t="n"/>
      <c r="R15" s="172" t="n"/>
      <c r="S15" s="172" t="n"/>
      <c r="T15" s="172" t="n"/>
      <c r="U15" s="172" t="n"/>
      <c r="V15" s="172" t="n"/>
    </row>
    <row r="16" ht="18" customHeight="1" s="163">
      <c r="A16" s="172" t="n"/>
      <c r="B16" s="191" t="inlineStr">
        <is>
          <t>Cleaning</t>
        </is>
      </c>
      <c r="C16" s="309" t="n">
        <v>0</v>
      </c>
      <c r="D16" s="172" t="n"/>
      <c r="E16" s="191" t="inlineStr">
        <is>
          <t>Cleaning</t>
        </is>
      </c>
      <c r="F16" s="309" t="n">
        <v>0</v>
      </c>
      <c r="G16" s="172" t="n"/>
      <c r="H16" s="191" t="inlineStr">
        <is>
          <t>Cleaning</t>
        </is>
      </c>
      <c r="I16" s="309" t="n">
        <v>0</v>
      </c>
      <c r="J16" s="172" t="n"/>
      <c r="K16" s="191" t="inlineStr">
        <is>
          <t>Cleaning</t>
        </is>
      </c>
      <c r="L16" s="309" t="n">
        <v>0</v>
      </c>
      <c r="M16" s="172" t="n"/>
      <c r="N16" s="172" t="n"/>
      <c r="O16" s="172" t="n"/>
      <c r="P16" s="172" t="n"/>
      <c r="Q16" s="172" t="n"/>
      <c r="R16" s="172" t="n"/>
      <c r="S16" s="172" t="n"/>
      <c r="T16" s="172" t="n"/>
      <c r="U16" s="172" t="n"/>
      <c r="V16" s="172" t="n"/>
    </row>
    <row r="17" ht="18" customHeight="1" s="163">
      <c r="A17" s="172" t="n"/>
      <c r="B17" s="194" t="inlineStr">
        <is>
          <t>Council Rates</t>
        </is>
      </c>
      <c r="C17" s="312" t="n">
        <v>0</v>
      </c>
      <c r="D17" s="172" t="n"/>
      <c r="E17" s="194" t="inlineStr">
        <is>
          <t>Council Rates</t>
        </is>
      </c>
      <c r="F17" s="312" t="n">
        <v>0</v>
      </c>
      <c r="G17" s="172" t="n"/>
      <c r="H17" s="194" t="inlineStr">
        <is>
          <t>Council Rates</t>
        </is>
      </c>
      <c r="I17" s="312" t="n">
        <v>0</v>
      </c>
      <c r="J17" s="172" t="n"/>
      <c r="K17" s="194" t="inlineStr">
        <is>
          <t>Council Rates</t>
        </is>
      </c>
      <c r="L17" s="312" t="n">
        <v>0</v>
      </c>
      <c r="M17" s="172" t="n"/>
      <c r="N17" s="172" t="n"/>
      <c r="O17" s="172" t="n"/>
      <c r="P17" s="172" t="n"/>
      <c r="Q17" s="172" t="n"/>
      <c r="R17" s="172" t="n"/>
      <c r="S17" s="172" t="n"/>
      <c r="T17" s="172" t="n"/>
      <c r="U17" s="172" t="n"/>
      <c r="V17" s="172" t="n"/>
    </row>
    <row r="18" ht="18" customHeight="1" s="163">
      <c r="A18" s="172" t="n"/>
      <c r="B18" s="200" t="inlineStr">
        <is>
          <t>Depreciation on Plant</t>
        </is>
      </c>
      <c r="C18" s="309" t="n">
        <v>0</v>
      </c>
      <c r="D18" s="172" t="n"/>
      <c r="E18" s="191" t="inlineStr">
        <is>
          <t>Depreciation on Plant</t>
        </is>
      </c>
      <c r="F18" s="309" t="n">
        <v>0</v>
      </c>
      <c r="G18" s="172" t="n"/>
      <c r="H18" s="191" t="inlineStr">
        <is>
          <t>Depreciation on Plant</t>
        </is>
      </c>
      <c r="I18" s="309" t="n">
        <v>0</v>
      </c>
      <c r="J18" s="172" t="n"/>
      <c r="K18" s="191" t="inlineStr">
        <is>
          <t>Depreciation on Plant</t>
        </is>
      </c>
      <c r="L18" s="309" t="n">
        <v>0</v>
      </c>
      <c r="M18" s="172" t="n"/>
      <c r="N18" s="172" t="n"/>
      <c r="O18" s="172" t="n"/>
      <c r="P18" s="172" t="n"/>
      <c r="Q18" s="172" t="n"/>
      <c r="R18" s="172" t="n"/>
      <c r="S18" s="172" t="n"/>
      <c r="T18" s="172" t="n"/>
      <c r="U18" s="172" t="n"/>
      <c r="V18" s="172" t="n"/>
    </row>
    <row r="19" ht="18" customHeight="1" s="163">
      <c r="A19" s="172" t="n"/>
      <c r="B19" s="245" t="inlineStr">
        <is>
          <t>Gardening / Lawn Mowing</t>
        </is>
      </c>
      <c r="C19" s="312" t="n">
        <v>0</v>
      </c>
      <c r="D19" s="172" t="n"/>
      <c r="E19" s="194" t="inlineStr">
        <is>
          <t>Gardening / Lawn Mowing</t>
        </is>
      </c>
      <c r="F19" s="312" t="n">
        <v>0</v>
      </c>
      <c r="G19" s="172" t="n"/>
      <c r="H19" s="194" t="inlineStr">
        <is>
          <t>Gardening / Lawn Mowing</t>
        </is>
      </c>
      <c r="I19" s="312" t="n">
        <v>0</v>
      </c>
      <c r="J19" s="172" t="n"/>
      <c r="K19" s="194" t="inlineStr">
        <is>
          <t>Gardening / Lawn Mowing</t>
        </is>
      </c>
      <c r="L19" s="312" t="n">
        <v>0</v>
      </c>
      <c r="M19" s="172" t="n"/>
      <c r="N19" s="172" t="n"/>
      <c r="O19" s="172" t="n"/>
      <c r="P19" s="172" t="n"/>
      <c r="Q19" s="172" t="n"/>
      <c r="R19" s="172" t="n"/>
      <c r="S19" s="172" t="n"/>
      <c r="T19" s="172" t="n"/>
      <c r="U19" s="172" t="n"/>
      <c r="V19" s="172" t="n"/>
    </row>
    <row r="20" ht="18" customHeight="1" s="163">
      <c r="A20" s="172" t="n"/>
      <c r="B20" s="191" t="inlineStr">
        <is>
          <t>Insurance</t>
        </is>
      </c>
      <c r="C20" s="309" t="n">
        <v>0</v>
      </c>
      <c r="D20" s="172" t="n"/>
      <c r="E20" s="191" t="inlineStr">
        <is>
          <t>Insurance</t>
        </is>
      </c>
      <c r="F20" s="309" t="n">
        <v>0</v>
      </c>
      <c r="G20" s="172" t="n"/>
      <c r="H20" s="191" t="inlineStr">
        <is>
          <t>Insurance</t>
        </is>
      </c>
      <c r="I20" s="309" t="n">
        <v>0</v>
      </c>
      <c r="J20" s="172" t="n"/>
      <c r="K20" s="191" t="inlineStr">
        <is>
          <t>Insurance</t>
        </is>
      </c>
      <c r="L20" s="309" t="n">
        <v>0</v>
      </c>
      <c r="M20" s="172" t="n"/>
      <c r="N20" s="172" t="n"/>
      <c r="O20" s="172" t="n"/>
      <c r="P20" s="172" t="n"/>
      <c r="Q20" s="172" t="n"/>
      <c r="R20" s="172" t="n"/>
      <c r="S20" s="172" t="n"/>
      <c r="T20" s="172" t="n"/>
      <c r="U20" s="172" t="n"/>
      <c r="V20" s="172" t="n"/>
    </row>
    <row r="21" ht="18" customHeight="1" s="163">
      <c r="A21" s="172" t="n"/>
      <c r="B21" s="194" t="inlineStr">
        <is>
          <t>Interest on Loan</t>
        </is>
      </c>
      <c r="C21" s="312" t="n">
        <v>0</v>
      </c>
      <c r="D21" s="172" t="n"/>
      <c r="E21" s="194" t="inlineStr">
        <is>
          <t>Interest on Loan</t>
        </is>
      </c>
      <c r="F21" s="312" t="n">
        <v>0</v>
      </c>
      <c r="G21" s="172" t="n"/>
      <c r="H21" s="194" t="inlineStr">
        <is>
          <t>Interest on Loan</t>
        </is>
      </c>
      <c r="I21" s="312" t="n">
        <v>0</v>
      </c>
      <c r="J21" s="172" t="n"/>
      <c r="K21" s="194" t="inlineStr">
        <is>
          <t>Interest on Loan</t>
        </is>
      </c>
      <c r="L21" s="312" t="n">
        <v>0</v>
      </c>
      <c r="M21" s="172" t="n"/>
      <c r="N21" s="172" t="n"/>
      <c r="O21" s="172" t="n"/>
      <c r="P21" s="172" t="n"/>
      <c r="Q21" s="172" t="n"/>
      <c r="R21" s="172" t="n"/>
      <c r="S21" s="172" t="n"/>
      <c r="T21" s="172" t="n"/>
      <c r="U21" s="172" t="n"/>
      <c r="V21" s="172" t="n"/>
    </row>
    <row r="22" ht="18" customHeight="1" s="163">
      <c r="A22" s="172" t="n"/>
      <c r="B22" s="191" t="inlineStr">
        <is>
          <t>Land Tax</t>
        </is>
      </c>
      <c r="C22" s="309" t="n">
        <v>0</v>
      </c>
      <c r="D22" s="172" t="n"/>
      <c r="E22" s="191" t="inlineStr">
        <is>
          <t>Land Tax</t>
        </is>
      </c>
      <c r="F22" s="309" t="n">
        <v>0</v>
      </c>
      <c r="G22" s="172" t="n"/>
      <c r="H22" s="191" t="inlineStr">
        <is>
          <t>Land Tax</t>
        </is>
      </c>
      <c r="I22" s="309" t="n">
        <v>0</v>
      </c>
      <c r="J22" s="172" t="n"/>
      <c r="K22" s="191" t="inlineStr">
        <is>
          <t>Land Tax</t>
        </is>
      </c>
      <c r="L22" s="309" t="n">
        <v>0</v>
      </c>
      <c r="M22" s="172" t="n"/>
      <c r="N22" s="172" t="n"/>
      <c r="O22" s="172" t="n"/>
      <c r="P22" s="172" t="n"/>
      <c r="Q22" s="172" t="n"/>
      <c r="R22" s="172" t="n"/>
      <c r="S22" s="172" t="n"/>
      <c r="T22" s="172" t="n"/>
      <c r="U22" s="172" t="n"/>
      <c r="V22" s="172" t="n"/>
    </row>
    <row r="23" ht="18" customHeight="1" s="163">
      <c r="A23" s="172" t="n"/>
      <c r="B23" s="194" t="inlineStr">
        <is>
          <t>Legal Fees</t>
        </is>
      </c>
      <c r="C23" s="312" t="n">
        <v>0</v>
      </c>
      <c r="D23" s="172" t="n"/>
      <c r="E23" s="194" t="inlineStr">
        <is>
          <t>Legal Fees</t>
        </is>
      </c>
      <c r="F23" s="312" t="n">
        <v>0</v>
      </c>
      <c r="G23" s="172" t="n"/>
      <c r="H23" s="194" t="inlineStr">
        <is>
          <t>Legal Fees</t>
        </is>
      </c>
      <c r="I23" s="312" t="n">
        <v>0</v>
      </c>
      <c r="J23" s="172" t="n"/>
      <c r="K23" s="194" t="inlineStr">
        <is>
          <t>Legal Fees</t>
        </is>
      </c>
      <c r="L23" s="312" t="n">
        <v>0</v>
      </c>
      <c r="M23" s="172" t="n"/>
      <c r="N23" s="172" t="n"/>
      <c r="O23" s="172" t="n"/>
      <c r="P23" s="172" t="n"/>
      <c r="Q23" s="172" t="n"/>
      <c r="R23" s="172" t="n"/>
      <c r="S23" s="172" t="n"/>
      <c r="T23" s="172" t="n"/>
      <c r="U23" s="172" t="n"/>
      <c r="V23" s="172" t="n"/>
    </row>
    <row r="24" ht="18" customHeight="1" s="163">
      <c r="A24" s="172" t="n"/>
      <c r="B24" s="191" t="inlineStr">
        <is>
          <t>Pest Control</t>
        </is>
      </c>
      <c r="C24" s="309" t="n">
        <v>0</v>
      </c>
      <c r="D24" s="172" t="n"/>
      <c r="E24" s="191" t="inlineStr">
        <is>
          <t>Pest Control</t>
        </is>
      </c>
      <c r="F24" s="309" t="n">
        <v>0</v>
      </c>
      <c r="G24" s="172" t="n"/>
      <c r="H24" s="191" t="inlineStr">
        <is>
          <t>Pest Control</t>
        </is>
      </c>
      <c r="I24" s="309" t="n">
        <v>0</v>
      </c>
      <c r="J24" s="172" t="n"/>
      <c r="K24" s="191" t="inlineStr">
        <is>
          <t>Pest Control</t>
        </is>
      </c>
      <c r="L24" s="309" t="n">
        <v>0</v>
      </c>
      <c r="M24" s="172" t="n"/>
      <c r="N24" s="172" t="n"/>
      <c r="O24" s="172" t="n"/>
      <c r="P24" s="172" t="n"/>
      <c r="Q24" s="172" t="n"/>
      <c r="R24" s="172" t="n"/>
      <c r="S24" s="172" t="n"/>
      <c r="T24" s="172" t="n"/>
      <c r="U24" s="172" t="n"/>
      <c r="V24" s="172" t="n"/>
    </row>
    <row r="25" ht="18" customHeight="1" s="163">
      <c r="A25" s="172" t="n"/>
      <c r="B25" s="194" t="inlineStr">
        <is>
          <t>Property Agent Fees</t>
        </is>
      </c>
      <c r="C25" s="312" t="n">
        <v>0</v>
      </c>
      <c r="D25" s="172" t="n"/>
      <c r="E25" s="194" t="inlineStr">
        <is>
          <t>Property Agent Fees</t>
        </is>
      </c>
      <c r="F25" s="312" t="n">
        <v>0</v>
      </c>
      <c r="G25" s="172" t="n"/>
      <c r="H25" s="194" t="inlineStr">
        <is>
          <t>Property Agent Fees</t>
        </is>
      </c>
      <c r="I25" s="312" t="n">
        <v>0</v>
      </c>
      <c r="J25" s="172" t="n"/>
      <c r="K25" s="194" t="inlineStr">
        <is>
          <t>Property Agent Fees</t>
        </is>
      </c>
      <c r="L25" s="312" t="n">
        <v>0</v>
      </c>
      <c r="M25" s="172" t="n"/>
      <c r="N25" s="172" t="n"/>
      <c r="O25" s="172" t="n"/>
      <c r="P25" s="172" t="n"/>
      <c r="Q25" s="172" t="n"/>
      <c r="R25" s="172" t="n"/>
      <c r="S25" s="172" t="n"/>
      <c r="T25" s="172" t="n"/>
      <c r="U25" s="172" t="n"/>
      <c r="V25" s="172" t="n"/>
    </row>
    <row r="26" ht="18" customHeight="1" s="163">
      <c r="A26" s="172" t="n"/>
      <c r="B26" s="200" t="inlineStr">
        <is>
          <t>Repairs &amp; Maintenance</t>
        </is>
      </c>
      <c r="C26" s="309" t="n">
        <v>0</v>
      </c>
      <c r="D26" s="172" t="n"/>
      <c r="E26" s="191" t="inlineStr">
        <is>
          <t>Repairs &amp; Maintenance</t>
        </is>
      </c>
      <c r="F26" s="309" t="n">
        <v>0</v>
      </c>
      <c r="G26" s="172" t="n"/>
      <c r="H26" s="191" t="inlineStr">
        <is>
          <t>Repairs &amp; Maintenance</t>
        </is>
      </c>
      <c r="I26" s="309" t="n">
        <v>0</v>
      </c>
      <c r="J26" s="172" t="n"/>
      <c r="K26" s="191" t="inlineStr">
        <is>
          <t>Repairs &amp; Maintenance</t>
        </is>
      </c>
      <c r="L26" s="309" t="n">
        <v>0</v>
      </c>
      <c r="M26" s="172" t="n"/>
      <c r="N26" s="172" t="n"/>
      <c r="O26" s="172" t="n"/>
      <c r="P26" s="172" t="n"/>
      <c r="Q26" s="172" t="n"/>
      <c r="R26" s="172" t="n"/>
      <c r="S26" s="172" t="n"/>
      <c r="T26" s="172" t="n"/>
      <c r="U26" s="172" t="n"/>
      <c r="V26" s="172" t="n"/>
    </row>
    <row r="27" ht="18" customHeight="1" s="163">
      <c r="A27" s="172" t="n"/>
      <c r="B27" s="245" t="inlineStr">
        <is>
          <t>Capital Works Deduction</t>
        </is>
      </c>
      <c r="C27" s="312" t="n">
        <v>0</v>
      </c>
      <c r="D27" s="172" t="n"/>
      <c r="E27" s="194" t="inlineStr">
        <is>
          <t>Capital Works Deduction</t>
        </is>
      </c>
      <c r="F27" s="312" t="n">
        <v>0</v>
      </c>
      <c r="G27" s="172" t="n"/>
      <c r="H27" s="194" t="inlineStr">
        <is>
          <t>Capital Works Deduction</t>
        </is>
      </c>
      <c r="I27" s="312" t="n">
        <v>0</v>
      </c>
      <c r="J27" s="172" t="n"/>
      <c r="K27" s="194" t="inlineStr">
        <is>
          <t>Capital Works Deduction</t>
        </is>
      </c>
      <c r="L27" s="312" t="n">
        <v>0</v>
      </c>
      <c r="M27" s="172" t="n"/>
      <c r="N27" s="172" t="n"/>
      <c r="O27" s="172" t="n"/>
      <c r="P27" s="172" t="n"/>
      <c r="Q27" s="172" t="n"/>
      <c r="R27" s="172" t="n"/>
      <c r="S27" s="172" t="n"/>
      <c r="T27" s="172" t="n"/>
      <c r="U27" s="172" t="n"/>
      <c r="V27" s="172" t="n"/>
    </row>
    <row r="28" ht="18" customHeight="1" s="163">
      <c r="A28" s="172" t="n"/>
      <c r="B28" s="191" t="inlineStr">
        <is>
          <t>Water Charges</t>
        </is>
      </c>
      <c r="C28" s="309" t="n">
        <v>0</v>
      </c>
      <c r="D28" s="172" t="n"/>
      <c r="E28" s="191" t="inlineStr">
        <is>
          <t>Water Charges</t>
        </is>
      </c>
      <c r="F28" s="309" t="n">
        <v>0</v>
      </c>
      <c r="G28" s="172" t="n"/>
      <c r="H28" s="191" t="inlineStr">
        <is>
          <t>Water Charges</t>
        </is>
      </c>
      <c r="I28" s="309" t="n">
        <v>0</v>
      </c>
      <c r="J28" s="172" t="n"/>
      <c r="K28" s="191" t="inlineStr">
        <is>
          <t>Water Charges</t>
        </is>
      </c>
      <c r="L28" s="309" t="n">
        <v>0</v>
      </c>
      <c r="M28" s="172" t="n"/>
      <c r="N28" s="172" t="n"/>
      <c r="O28" s="172" t="n"/>
      <c r="P28" s="172" t="n"/>
      <c r="Q28" s="172" t="n"/>
      <c r="R28" s="172" t="n"/>
      <c r="S28" s="172" t="n"/>
      <c r="T28" s="172" t="n"/>
      <c r="U28" s="172" t="n"/>
      <c r="V28" s="172" t="n"/>
    </row>
    <row r="29" ht="18" customHeight="1" s="163">
      <c r="A29" s="172" t="n"/>
      <c r="B29" s="194" t="inlineStr">
        <is>
          <t>Sundry</t>
        </is>
      </c>
      <c r="C29" s="312" t="n">
        <v>0</v>
      </c>
      <c r="D29" s="172" t="n"/>
      <c r="E29" s="194" t="inlineStr">
        <is>
          <t>Sundry</t>
        </is>
      </c>
      <c r="F29" s="312" t="n">
        <v>0</v>
      </c>
      <c r="G29" s="172" t="n"/>
      <c r="H29" s="194" t="inlineStr">
        <is>
          <t>Sundry</t>
        </is>
      </c>
      <c r="I29" s="312" t="n">
        <v>0</v>
      </c>
      <c r="J29" s="172" t="n"/>
      <c r="K29" s="194" t="inlineStr">
        <is>
          <t>Sundry</t>
        </is>
      </c>
      <c r="L29" s="312" t="n">
        <v>0</v>
      </c>
      <c r="M29" s="172" t="n"/>
      <c r="N29" s="172" t="n"/>
      <c r="O29" s="172" t="n"/>
      <c r="P29" s="172" t="n"/>
      <c r="Q29" s="172" t="n"/>
      <c r="R29" s="172" t="n"/>
      <c r="S29" s="172" t="n"/>
      <c r="T29" s="172" t="n"/>
      <c r="U29" s="172" t="n"/>
      <c r="V29" s="172" t="n"/>
    </row>
    <row r="30" ht="18" customHeight="1" s="163">
      <c r="A30" s="172" t="n"/>
      <c r="B30" s="247" t="inlineStr">
        <is>
          <t>Total Expenses</t>
        </is>
      </c>
      <c r="C30" s="248">
        <f>SUM(C13:C29)</f>
        <v/>
      </c>
      <c r="D30" s="172" t="n"/>
      <c r="E30" s="247" t="inlineStr">
        <is>
          <t>Total Expenses</t>
        </is>
      </c>
      <c r="F30" s="248">
        <f>SUM(F13:F29)</f>
        <v/>
      </c>
      <c r="G30" s="172" t="n"/>
      <c r="H30" s="247" t="inlineStr">
        <is>
          <t>Total Expenses</t>
        </is>
      </c>
      <c r="I30" s="248">
        <f>SUM(I13:I29)</f>
        <v/>
      </c>
      <c r="J30" s="172" t="n"/>
      <c r="K30" s="247" t="inlineStr">
        <is>
          <t>Total Expenses</t>
        </is>
      </c>
      <c r="L30" s="248">
        <f>SUM(L13:L29)</f>
        <v/>
      </c>
      <c r="M30" s="172" t="n"/>
      <c r="N30" s="172" t="n"/>
      <c r="O30" s="172" t="n"/>
      <c r="P30" s="172" t="n"/>
      <c r="Q30" s="172" t="n"/>
      <c r="R30" s="172" t="n"/>
      <c r="S30" s="172" t="n"/>
      <c r="T30" s="172" t="n"/>
      <c r="U30" s="172" t="n"/>
      <c r="V30" s="172" t="n"/>
    </row>
    <row r="31" ht="18" customHeight="1" s="163">
      <c r="A31" s="172" t="n"/>
      <c r="B31" s="305" t="inlineStr">
        <is>
          <t>Net Profit / (Loss)</t>
        </is>
      </c>
      <c r="C31" s="306">
        <f>C11-C30</f>
        <v/>
      </c>
      <c r="D31" s="172" t="n"/>
      <c r="E31" s="305" t="inlineStr">
        <is>
          <t>Net Profit / (Loss)</t>
        </is>
      </c>
      <c r="F31" s="306">
        <f>F11-F30</f>
        <v/>
      </c>
      <c r="G31" s="172" t="n"/>
      <c r="H31" s="305" t="inlineStr">
        <is>
          <t>Net Profit / (Loss)</t>
        </is>
      </c>
      <c r="I31" s="306">
        <f>I11-I30</f>
        <v/>
      </c>
      <c r="J31" s="172" t="n"/>
      <c r="K31" s="305" t="inlineStr">
        <is>
          <t>Net Profit / (Loss)</t>
        </is>
      </c>
      <c r="L31" s="306">
        <f>L11-L30</f>
        <v/>
      </c>
      <c r="M31" s="172" t="n"/>
      <c r="N31" s="172" t="n"/>
      <c r="O31" s="172" t="n"/>
      <c r="P31" s="172" t="n"/>
      <c r="Q31" s="172" t="n"/>
      <c r="R31" s="172" t="n"/>
      <c r="S31" s="172" t="n"/>
      <c r="T31" s="172" t="n"/>
      <c r="U31" s="172" t="n"/>
      <c r="V31" s="172" t="n"/>
    </row>
    <row r="32" ht="18" customHeight="1" s="163">
      <c r="A32" s="172" t="n"/>
      <c r="B32" s="247" t="inlineStr">
        <is>
          <t>Your Share (Net)</t>
        </is>
      </c>
      <c r="C32" s="248">
        <f>C31*C9</f>
        <v/>
      </c>
      <c r="D32" s="172" t="n"/>
      <c r="E32" s="247" t="inlineStr">
        <is>
          <t>Your Share (Net)</t>
        </is>
      </c>
      <c r="F32" s="248">
        <f>F31*F9</f>
        <v/>
      </c>
      <c r="G32" s="172" t="n"/>
      <c r="H32" s="247" t="inlineStr">
        <is>
          <t>Your Share (Net)</t>
        </is>
      </c>
      <c r="I32" s="248">
        <f>I31*I9</f>
        <v/>
      </c>
      <c r="J32" s="172" t="n"/>
      <c r="K32" s="247" t="inlineStr">
        <is>
          <t>Your Share (Net)</t>
        </is>
      </c>
      <c r="L32" s="248">
        <f>L31*L9</f>
        <v/>
      </c>
      <c r="M32" s="172" t="n"/>
      <c r="N32" s="172" t="n"/>
      <c r="O32" s="172" t="n"/>
      <c r="P32" s="172" t="n"/>
      <c r="Q32" s="172" t="n"/>
      <c r="R32" s="172" t="n"/>
      <c r="S32" s="172" t="n"/>
      <c r="T32" s="172" t="n"/>
      <c r="U32" s="172" t="n"/>
      <c r="V32" s="172" t="n"/>
    </row>
    <row r="33" ht="15" customHeight="1" s="163">
      <c r="A33" s="172" t="n"/>
      <c r="B33" s="247" t="inlineStr">
        <is>
          <t>⚠ Neg. Gearing Status</t>
        </is>
      </c>
      <c r="C33" s="248">
        <f>IF(C31&gt;=0,"Positively geared ✓",IF(NegGearingEligible="YES","Loss deductible ✓ (grandfathered)","Loss quarantined ⚠ (post 12 May 2026 rules)"))</f>
        <v/>
      </c>
      <c r="D33" s="172" t="n"/>
      <c r="E33" s="247" t="inlineStr">
        <is>
          <t>⚠ Neg. Gearing Status</t>
        </is>
      </c>
      <c r="F33" s="248">
        <f>IF(F31&gt;=0,"Positively geared ✓",IF(NegGearingEligible="YES","Loss deductible ✓ (grandfathered)","Loss quarantined ⚠ (post 12 May 2026 rules)"))</f>
        <v/>
      </c>
      <c r="G33" s="172" t="n"/>
      <c r="H33" s="247" t="inlineStr">
        <is>
          <t>⚠ Neg. Gearing Status</t>
        </is>
      </c>
      <c r="I33" s="248">
        <f>IF(I31&gt;=0,"Positively geared ✓",IF(NegGearingEligible="YES","Loss deductible ✓ (grandfathered)","Loss quarantined ⚠ (post 12 May 2026 rules)"))</f>
        <v/>
      </c>
      <c r="J33" s="172" t="n"/>
      <c r="K33" s="247" t="inlineStr">
        <is>
          <t>⚠ Neg. Gearing Status</t>
        </is>
      </c>
      <c r="L33" s="248">
        <f>IF(L31&gt;=0,"Positively geared ✓",IF(NegGearingEligible="YES","Loss deductible ✓ (grandfathered)","Loss quarantined ⚠ (post 12 May 2026 rules)"))</f>
        <v/>
      </c>
      <c r="M33" s="172" t="n"/>
      <c r="N33" s="172" t="n"/>
      <c r="O33" s="172" t="n"/>
      <c r="P33" s="172" t="n"/>
      <c r="Q33" s="172" t="n"/>
      <c r="R33" s="172" t="n"/>
      <c r="S33" s="172" t="n"/>
      <c r="T33" s="172" t="n"/>
      <c r="U33" s="172" t="n"/>
      <c r="V33" s="172" t="n"/>
    </row>
    <row r="34" ht="15" customHeight="1" s="163">
      <c r="A34" s="172" t="n"/>
      <c r="B34" s="247" t="inlineStr">
        <is>
          <t>Deductible Loss (tax)</t>
        </is>
      </c>
      <c r="C34" s="248">
        <f>IF(C31&gt;=0,0,IF(NegGearingEligible="YES",C31*C9,0))</f>
        <v/>
      </c>
      <c r="D34" s="172" t="n"/>
      <c r="E34" s="247" t="inlineStr">
        <is>
          <t>Deductible Loss (tax)</t>
        </is>
      </c>
      <c r="F34" s="248">
        <f>IF(F31&gt;=0,0,IF(NegGearingEligible="YES",F31*F9,0))</f>
        <v/>
      </c>
      <c r="G34" s="172" t="n"/>
      <c r="H34" s="247" t="inlineStr">
        <is>
          <t>Deductible Loss (tax)</t>
        </is>
      </c>
      <c r="I34" s="248">
        <f>IF(I31&gt;=0,0,IF(NegGearingEligible="YES",I31*I9,0))</f>
        <v/>
      </c>
      <c r="J34" s="172" t="n"/>
      <c r="K34" s="247" t="inlineStr">
        <is>
          <t>Deductible Loss (tax)</t>
        </is>
      </c>
      <c r="L34" s="248">
        <f>IF(L31&gt;=0,0,IF(NegGearingEligible="YES",L31*L9,0))</f>
        <v/>
      </c>
      <c r="M34" s="172" t="n"/>
      <c r="N34" s="172" t="n"/>
      <c r="O34" s="172" t="n"/>
      <c r="P34" s="172" t="n"/>
      <c r="Q34" s="172" t="n"/>
      <c r="R34" s="172" t="n"/>
      <c r="S34" s="172" t="n"/>
      <c r="T34" s="172" t="n"/>
      <c r="U34" s="172" t="n"/>
      <c r="V34" s="172" t="n"/>
    </row>
    <row r="35" ht="18" customHeight="1" s="163">
      <c r="A35" s="172" t="n"/>
      <c r="B35" s="247" t="inlineStr">
        <is>
          <t>CGT Discount on Sale</t>
        </is>
      </c>
      <c r="C35" s="216">
        <f>IF(CGTDiscountEligible="YES","50% discount applies","30% min tax + indexation applies")</f>
        <v/>
      </c>
      <c r="D35" s="172" t="n"/>
      <c r="E35" s="172" t="n"/>
      <c r="F35" s="216">
        <f>IF(CGTDiscountEligible="YES","50% discount applies","30% min tax + indexation applies")</f>
        <v/>
      </c>
      <c r="G35" s="172" t="n"/>
      <c r="H35" s="172" t="n"/>
      <c r="I35" s="216">
        <f>IF(CGTDiscountEligible="YES","50% discount applies","30% min tax + indexation applies")</f>
        <v/>
      </c>
      <c r="J35" s="172" t="n"/>
      <c r="K35" s="247" t="inlineStr">
        <is>
          <t>CGT Discount on Sale</t>
        </is>
      </c>
      <c r="L35" s="248">
        <f>IF(CGTDiscountEligible="YES","50% discount applies","30% min tax + indexation applies")</f>
        <v/>
      </c>
      <c r="M35" s="172" t="n"/>
      <c r="N35" s="172" t="n"/>
      <c r="O35" s="172" t="n"/>
      <c r="P35" s="172" t="n"/>
      <c r="Q35" s="172" t="n"/>
      <c r="R35" s="172" t="n"/>
      <c r="S35" s="172" t="n"/>
      <c r="T35" s="172" t="n"/>
      <c r="U35" s="172" t="n"/>
      <c r="V35" s="172" t="n"/>
    </row>
    <row r="36" ht="24" customHeight="1" s="163">
      <c r="A36" s="172" t="n"/>
      <c r="B36" s="216" t="n"/>
      <c r="C36" s="172" t="n"/>
      <c r="D36" s="216" t="n"/>
      <c r="E36" s="172" t="n"/>
      <c r="F36" s="172" t="n"/>
      <c r="G36" s="172" t="n"/>
      <c r="H36" s="172" t="n"/>
      <c r="I36" s="172" t="n"/>
      <c r="J36" s="172" t="n"/>
      <c r="K36" s="172" t="n"/>
      <c r="L36" s="172" t="n"/>
      <c r="M36" s="172" t="n"/>
      <c r="N36" s="172" t="n"/>
      <c r="O36" s="172" t="n"/>
      <c r="P36" s="172" t="n"/>
      <c r="Q36" s="172" t="n"/>
      <c r="R36" s="172" t="n"/>
      <c r="S36" s="172" t="n"/>
      <c r="T36" s="172" t="n"/>
      <c r="U36" s="172" t="n"/>
      <c r="V36" s="172" t="n"/>
    </row>
    <row r="37" ht="18" customHeight="1" s="163">
      <c r="A37" s="172" t="n"/>
      <c r="B37" s="216" t="n"/>
      <c r="C37" s="172" t="n"/>
      <c r="D37" s="216" t="n"/>
      <c r="E37" s="172" t="n"/>
      <c r="F37" s="172" t="n"/>
      <c r="G37" s="172" t="n"/>
      <c r="H37" s="172" t="n"/>
      <c r="I37" s="172" t="n"/>
      <c r="J37" s="172" t="n"/>
      <c r="K37" s="172" t="n"/>
      <c r="L37" s="172" t="n"/>
      <c r="M37" s="172" t="n"/>
      <c r="N37" s="172" t="n"/>
      <c r="O37" s="172" t="n"/>
      <c r="P37" s="172" t="n"/>
      <c r="Q37" s="172" t="n"/>
      <c r="R37" s="172" t="n"/>
      <c r="S37" s="172" t="n"/>
      <c r="T37" s="172" t="n"/>
      <c r="U37" s="172" t="n"/>
      <c r="V37" s="172" t="n"/>
    </row>
    <row r="38" ht="18" customHeight="1" s="163">
      <c r="A38" s="172" t="n"/>
      <c r="B38" s="216" t="n"/>
      <c r="C38" s="172" t="n"/>
      <c r="D38" s="216" t="n"/>
      <c r="E38" s="172" t="n"/>
      <c r="F38" s="172" t="n"/>
      <c r="G38" s="172" t="n"/>
      <c r="H38" s="172" t="n"/>
      <c r="I38" s="172" t="n"/>
      <c r="J38" s="172" t="n"/>
      <c r="K38" s="172" t="n"/>
      <c r="L38" s="172" t="n"/>
      <c r="M38" s="172" t="n"/>
      <c r="N38" s="172" t="n"/>
      <c r="O38" s="172" t="n"/>
      <c r="P38" s="172" t="n"/>
      <c r="Q38" s="172" t="n"/>
      <c r="R38" s="172" t="n"/>
      <c r="S38" s="172" t="n"/>
      <c r="T38" s="172" t="n"/>
      <c r="U38" s="172" t="n"/>
      <c r="V38" s="172" t="n"/>
    </row>
    <row r="39" ht="18" customHeight="1" s="163">
      <c r="A39" s="172" t="n"/>
      <c r="B39" s="202" t="inlineStr">
        <is>
          <t>📋 HOW TO USE — RENTAL PROPERTIES</t>
        </is>
      </c>
      <c r="C39" s="204" t="n"/>
      <c r="D39" s="214" t="n"/>
      <c r="E39" s="203" t="n"/>
      <c r="F39" s="203" t="n"/>
      <c r="G39" s="203" t="n"/>
      <c r="H39" s="203" t="n"/>
      <c r="I39" s="204" t="n"/>
      <c r="J39" s="172" t="n"/>
      <c r="K39" s="172" t="n"/>
      <c r="L39" s="172" t="n"/>
      <c r="M39" s="172" t="n"/>
      <c r="N39" s="172" t="n"/>
      <c r="O39" s="172" t="n"/>
      <c r="P39" s="172" t="n"/>
      <c r="Q39" s="172" t="n"/>
      <c r="R39" s="172" t="n"/>
      <c r="S39" s="172" t="n"/>
      <c r="T39" s="172" t="n"/>
      <c r="U39" s="172" t="n"/>
      <c r="V39" s="172" t="n"/>
    </row>
    <row r="40" ht="18" customHeight="1" s="163">
      <c r="A40" s="172" t="n"/>
      <c r="B40" s="205" t="inlineStr">
        <is>
          <t>Enter details for up to 4 rental properties. Each column is a separate property.</t>
        </is>
      </c>
      <c r="C40" s="204" t="n"/>
      <c r="D40" s="206" t="n"/>
      <c r="E40" s="203" t="n"/>
      <c r="F40" s="203" t="n"/>
      <c r="G40" s="203" t="n"/>
      <c r="H40" s="203" t="n"/>
      <c r="I40" s="204" t="n"/>
      <c r="J40" s="172" t="n"/>
      <c r="K40" s="172" t="n"/>
      <c r="L40" s="172" t="n"/>
      <c r="M40" s="172" t="n"/>
      <c r="N40" s="172" t="n"/>
      <c r="O40" s="172" t="n"/>
      <c r="P40" s="172" t="n"/>
      <c r="Q40" s="172" t="n"/>
      <c r="R40" s="172" t="n"/>
      <c r="S40" s="172" t="n"/>
      <c r="T40" s="172" t="n"/>
      <c r="U40" s="172" t="n"/>
      <c r="V40" s="172" t="n"/>
    </row>
    <row r="41" ht="18" customHeight="1" s="163">
      <c r="A41" s="172" t="n"/>
      <c r="B41" s="210" t="inlineStr">
        <is>
          <t>→  Weekly Rent × Weeks</t>
        </is>
      </c>
      <c r="C41" s="204" t="n"/>
      <c r="D41" s="208" t="inlineStr">
        <is>
          <t>Formula auto-calculates gross annual rent. Adjust weeks for vacancies.</t>
        </is>
      </c>
      <c r="E41" s="203" t="n"/>
      <c r="F41" s="203" t="n"/>
      <c r="G41" s="203" t="n"/>
      <c r="H41" s="203" t="n"/>
      <c r="I41" s="204" t="n"/>
      <c r="J41" s="172" t="n"/>
      <c r="K41" s="172" t="n"/>
      <c r="L41" s="172" t="n"/>
      <c r="M41" s="172" t="n"/>
      <c r="N41" s="172" t="n"/>
      <c r="O41" s="172" t="n"/>
      <c r="P41" s="172" t="n"/>
      <c r="Q41" s="172" t="n"/>
      <c r="R41" s="172" t="n"/>
      <c r="S41" s="172" t="n"/>
      <c r="T41" s="172" t="n"/>
      <c r="U41" s="172" t="n"/>
      <c r="V41" s="172" t="n"/>
    </row>
    <row r="42" ht="18" customHeight="1" s="163">
      <c r="A42" s="172" t="n"/>
      <c r="B42" s="209" t="inlineStr">
        <is>
          <t>→  Ownership %</t>
        </is>
      </c>
      <c r="C42" s="204" t="n"/>
      <c r="D42" s="206" t="inlineStr">
        <is>
          <t>If jointly owned 50/50, enter 0.5. Sole owner = 1.0</t>
        </is>
      </c>
      <c r="E42" s="203" t="n"/>
      <c r="F42" s="203" t="n"/>
      <c r="G42" s="203" t="n"/>
      <c r="H42" s="203" t="n"/>
      <c r="I42" s="204" t="n"/>
      <c r="J42" s="172" t="n"/>
      <c r="K42" s="172" t="n"/>
      <c r="L42" s="172" t="n"/>
      <c r="M42" s="172" t="n"/>
      <c r="N42" s="172" t="n"/>
      <c r="O42" s="172" t="n"/>
      <c r="P42" s="172" t="n"/>
      <c r="Q42" s="172" t="n"/>
      <c r="R42" s="172" t="n"/>
      <c r="S42" s="172" t="n"/>
      <c r="T42" s="172" t="n"/>
      <c r="U42" s="172" t="n"/>
      <c r="V42" s="172" t="n"/>
    </row>
    <row r="43" ht="18" customHeight="1" s="163">
      <c r="A43" s="172" t="n"/>
      <c r="B43" s="207" t="inlineStr">
        <is>
          <t>→  Expenses</t>
        </is>
      </c>
      <c r="C43" s="204" t="n"/>
      <c r="D43" s="208" t="inlineStr">
        <is>
          <t>Enter annual cost for each expense line. Interest on Loan feeds from Debt Schedule.</t>
        </is>
      </c>
      <c r="E43" s="203" t="n"/>
      <c r="F43" s="203" t="n"/>
      <c r="G43" s="203" t="n"/>
      <c r="H43" s="203" t="n"/>
      <c r="I43" s="204" t="n"/>
      <c r="J43" s="172" t="n"/>
      <c r="K43" s="172" t="n"/>
      <c r="L43" s="172" t="n"/>
      <c r="M43" s="172" t="n"/>
      <c r="N43" s="172" t="n"/>
      <c r="O43" s="172" t="n"/>
      <c r="P43" s="172" t="n"/>
      <c r="Q43" s="172" t="n"/>
      <c r="R43" s="172" t="n"/>
      <c r="S43" s="172" t="n"/>
      <c r="T43" s="172" t="n"/>
      <c r="U43" s="172" t="n"/>
      <c r="V43" s="172" t="n"/>
    </row>
    <row r="44" ht="273" customHeight="1" s="163">
      <c r="A44" s="172" t="n"/>
      <c r="B44" s="302" t="inlineStr">
        <is>
          <t>→  Capital Works Deduction</t>
        </is>
      </c>
      <c r="C44" s="214" t="n"/>
      <c r="D44" s="206" t="inlineStr">
        <is>
          <t>Enter annual depreciation schedule amount (from quantity surveyor report)</t>
        </is>
      </c>
      <c r="E44" s="215" t="n"/>
      <c r="F44" s="215" t="n"/>
      <c r="G44" s="215" t="n"/>
      <c r="H44" s="215" t="n"/>
      <c r="I44" s="214" t="n"/>
      <c r="J44" s="172" t="n"/>
      <c r="K44" s="172" t="n"/>
      <c r="L44" s="172" t="n"/>
      <c r="M44" s="172" t="n"/>
      <c r="N44" s="172" t="n"/>
      <c r="O44" s="172" t="n"/>
      <c r="P44" s="172" t="n"/>
      <c r="Q44" s="172" t="n"/>
      <c r="R44" s="172" t="n"/>
      <c r="S44" s="172" t="n"/>
      <c r="T44" s="172" t="n"/>
      <c r="U44" s="172" t="n"/>
      <c r="V44" s="172" t="n"/>
    </row>
    <row r="45" ht="1.5" customHeight="1" s="163">
      <c r="A45" s="172" t="n"/>
      <c r="B45" s="207" t="inlineStr">
        <is>
          <t>→  NET PROFIT/LOSS</t>
        </is>
      </c>
      <c r="C45" s="214" t="n"/>
      <c r="D45" s="208" t="inlineStr">
        <is>
          <t>If negative = negatively geared. This offsets other income at tax time.</t>
        </is>
      </c>
      <c r="E45" s="215" t="n"/>
      <c r="F45" s="215" t="n"/>
      <c r="G45" s="215" t="n"/>
      <c r="H45" s="215" t="n"/>
      <c r="I45" s="214" t="n"/>
      <c r="J45" s="172" t="n"/>
      <c r="K45" s="172" t="n"/>
      <c r="L45" s="172" t="n"/>
      <c r="M45" s="172" t="n"/>
      <c r="N45" s="172" t="n"/>
      <c r="O45" s="172" t="n"/>
      <c r="P45" s="172" t="n"/>
      <c r="Q45" s="172" t="n"/>
      <c r="R45" s="172" t="n"/>
      <c r="S45" s="172" t="n"/>
      <c r="T45" s="172" t="n"/>
      <c r="U45" s="172" t="n"/>
      <c r="V45" s="172" t="n"/>
    </row>
    <row r="46" ht="18" customHeight="1" s="163">
      <c r="A46" s="172" t="n"/>
      <c r="B46" s="209" t="inlineStr">
        <is>
          <t>→  Your Share</t>
        </is>
      </c>
      <c r="C46" s="203" t="n"/>
      <c r="D46" s="203" t="n"/>
      <c r="E46" s="203" t="n"/>
      <c r="F46" s="203" t="n"/>
      <c r="G46" s="203" t="n"/>
      <c r="H46" s="203" t="n"/>
      <c r="I46" s="203" t="n"/>
      <c r="J46" s="203" t="n"/>
      <c r="K46" s="203" t="n"/>
      <c r="L46" s="203" t="n"/>
      <c r="M46" s="203" t="n"/>
      <c r="N46" s="203" t="n"/>
      <c r="O46" s="204" t="n"/>
      <c r="P46" s="172" t="n"/>
      <c r="Q46" s="172" t="n"/>
      <c r="R46" s="172" t="n"/>
      <c r="S46" s="172" t="n"/>
      <c r="T46" s="172" t="n"/>
      <c r="U46" s="172" t="n"/>
      <c r="V46" s="172" t="n"/>
    </row>
    <row r="47" ht="355.5" customHeight="1" s="163">
      <c r="A47" s="172" t="n"/>
      <c r="B47" s="207" t="inlineStr">
        <is>
          <t>💡 Tip</t>
        </is>
      </c>
      <c r="C47" s="214" t="n"/>
      <c r="D47" s="208" t="inlineStr">
        <is>
          <t>Get a depreciation schedule for each property — it can add $3,000–$8,000 in annual tax deductions.</t>
        </is>
      </c>
      <c r="E47" s="215" t="n"/>
      <c r="F47" s="215" t="n"/>
      <c r="G47" s="215" t="n"/>
      <c r="H47" s="215" t="n"/>
      <c r="I47" s="214" t="n"/>
      <c r="J47" s="172" t="n"/>
      <c r="K47" s="172" t="n"/>
      <c r="L47" s="172" t="n"/>
      <c r="M47" s="172" t="n"/>
      <c r="N47" s="172" t="n"/>
      <c r="O47" s="172" t="n"/>
      <c r="P47" s="172" t="n"/>
      <c r="Q47" s="172" t="n"/>
      <c r="R47" s="172" t="n"/>
      <c r="S47" s="172" t="n"/>
      <c r="T47" s="172" t="n"/>
      <c r="U47" s="172" t="n"/>
      <c r="V47" s="172" t="n"/>
    </row>
    <row r="48">
      <c r="A48" s="172" t="n"/>
      <c r="B48" s="172" t="n"/>
      <c r="C48" s="172" t="n"/>
      <c r="D48" s="172" t="n"/>
      <c r="E48" s="172" t="n"/>
      <c r="F48" s="172" t="n"/>
      <c r="G48" s="172" t="n"/>
      <c r="H48" s="172" t="n"/>
      <c r="I48" s="172" t="n"/>
      <c r="J48" s="172" t="n"/>
      <c r="K48" s="172" t="n"/>
      <c r="L48" s="172" t="n"/>
      <c r="M48" s="172" t="n"/>
      <c r="N48" s="172" t="n"/>
      <c r="O48" s="172" t="n"/>
      <c r="P48" s="172" t="n"/>
      <c r="Q48" s="172" t="n"/>
      <c r="R48" s="172" t="n"/>
      <c r="S48" s="172" t="n"/>
      <c r="T48" s="172" t="n"/>
      <c r="U48" s="172" t="n"/>
      <c r="V48" s="172" t="n"/>
    </row>
    <row r="49" ht="15" customHeight="1" s="163">
      <c r="A49" s="172" t="n"/>
      <c r="B49" s="217" t="n"/>
      <c r="C49" s="217" t="n"/>
      <c r="D49" s="217" t="n"/>
      <c r="E49" s="217" t="n"/>
      <c r="F49" s="217" t="n"/>
      <c r="G49" s="217" t="n"/>
      <c r="H49" s="217" t="n"/>
      <c r="I49" s="217" t="n"/>
      <c r="J49" s="217" t="n"/>
      <c r="K49" s="217" t="n"/>
      <c r="L49" s="217" t="n"/>
      <c r="M49" s="217" t="n"/>
      <c r="N49" s="217" t="n"/>
      <c r="O49" s="217" t="n"/>
      <c r="P49" s="172" t="n"/>
      <c r="Q49" s="172" t="n"/>
      <c r="R49" s="172" t="n"/>
      <c r="S49" s="172" t="n"/>
      <c r="T49" s="172" t="n"/>
      <c r="U49" s="172" t="n"/>
      <c r="V49" s="172" t="n"/>
    </row>
    <row r="50" ht="15" customHeight="1" s="163">
      <c r="A50" s="172" t="n"/>
      <c r="B50" s="218">
        <f>"Prepared by Baobab Consulting  ·  Commercial in Confidence — "&amp;FamilyName&amp;" Group  ·  FY "&amp;FYYear</f>
        <v/>
      </c>
      <c r="C50" s="172" t="n"/>
      <c r="D50" s="172" t="n"/>
      <c r="E50" s="172" t="n"/>
      <c r="F50" s="172" t="n"/>
      <c r="G50" s="172" t="n"/>
      <c r="H50" s="172" t="n"/>
      <c r="I50" s="172" t="n"/>
      <c r="J50" s="172" t="n"/>
      <c r="K50" s="172" t="n"/>
      <c r="L50" s="172" t="n"/>
      <c r="M50" s="172" t="n"/>
      <c r="N50" s="172" t="n"/>
      <c r="O50" s="172" t="n"/>
      <c r="P50" s="172" t="n"/>
      <c r="Q50" s="172" t="n"/>
      <c r="R50" s="172" t="n"/>
      <c r="S50" s="172" t="n"/>
      <c r="T50" s="172" t="n"/>
      <c r="U50" s="172" t="n"/>
      <c r="V50" s="172" t="n"/>
    </row>
  </sheetData>
  <mergeCells count="29">
    <mergeCell ref="E12:F12"/>
    <mergeCell ref="C2:R2"/>
    <mergeCell ref="H10:I10"/>
    <mergeCell ref="D41:I41"/>
    <mergeCell ref="B3:R3"/>
    <mergeCell ref="B46:O46"/>
    <mergeCell ref="B43:C43"/>
    <mergeCell ref="B12:C12"/>
    <mergeCell ref="B39:C39"/>
    <mergeCell ref="D43:I43"/>
    <mergeCell ref="E10:F10"/>
    <mergeCell ref="D37:I37"/>
    <mergeCell ref="B42:C42"/>
    <mergeCell ref="D39:I39"/>
    <mergeCell ref="N8:O8"/>
    <mergeCell ref="B38:C38"/>
    <mergeCell ref="D42:I42"/>
    <mergeCell ref="K12:L12"/>
    <mergeCell ref="D38:I38"/>
    <mergeCell ref="B37:C37"/>
    <mergeCell ref="B10:C10"/>
    <mergeCell ref="B40:C40"/>
    <mergeCell ref="C1:R1"/>
    <mergeCell ref="H12:I12"/>
    <mergeCell ref="D40:I40"/>
    <mergeCell ref="K10:L10"/>
    <mergeCell ref="B36:C36"/>
    <mergeCell ref="D36:I36"/>
    <mergeCell ref="B41:C41"/>
  </mergeCells>
  <printOptions horizontalCentered="0" verticalCentered="0" headings="0" gridLines="0" gridLinesSet="1"/>
  <pageMargins left="0.75" right="0.75" top="1" bottom="1" header="0.511805555555556" footer="0.511805555555556"/>
  <pageSetup orientation="portrait" paperSize="9" scale="100" fitToHeight="1" fitToWidth="1" pageOrder="downThenOver" blackAndWhite="0" draft="0" horizontalDpi="300" verticalDpi="300" copies="1"/>
  <headerFooter differentOddEven="0" differentFirst="0">
    <oddHeader>&amp;L&amp;"Calibri,Bold"&amp;9 Baobab Consulting  ·  CONFIDENTIAL&amp;R&amp;8 Page &amp;P of &amp;N  ·  FY &amp;D</oddHeader>
    <oddFooter>&amp;C&amp;"Calibri,Italic"&amp;7 © Baobab Group of Companies (Baobab CFO Pty Ltd Baobab Consulting). No unauthorised use or reproduction without prior written permission.</oddFooter>
    <evenHeader/>
    <evenFooter/>
    <firstHeader/>
    <firstFooter/>
  </headerFooter>
  <drawing xmlns:r="http://schemas.openxmlformats.org/officeDocument/2006/relationships" r:id="rId1"/>
</worksheet>
</file>

<file path=xl/worksheets/sheet10.xml><?xml version="1.0" encoding="utf-8"?>
<worksheet xmlns="http://schemas.openxmlformats.org/spreadsheetml/2006/main">
  <sheetPr filterMode="0">
    <outlinePr summaryBelow="1" summaryRight="1"/>
    <pageSetUpPr fitToPage="0"/>
  </sheetPr>
  <dimension ref="A1:Q52"/>
  <sheetViews>
    <sheetView showFormulas="0" showGridLines="0" showRowColHeaders="1" showZeros="1" rightToLeft="0" tabSelected="0" showOutlineSymbols="1" defaultGridColor="1"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baseColWidth="8" defaultColWidth="8.71484375" defaultRowHeight="15" zeroHeight="0" outlineLevelRow="0"/>
  <cols>
    <col width="2" customWidth="1" style="162" min="1" max="1"/>
    <col width="32" customWidth="1" style="162" min="2" max="2"/>
    <col width="16" customWidth="1" style="162" min="3" max="6"/>
    <col width="3" customWidth="1" style="162" min="7" max="7"/>
    <col width="32" customWidth="1" style="162" min="8" max="8"/>
    <col width="18" customWidth="1" style="162" min="9" max="10"/>
  </cols>
  <sheetData>
    <row r="1" ht="90" customHeight="1" s="163">
      <c r="A1" s="179" t="n"/>
      <c r="B1" s="179" t="n"/>
      <c r="C1" s="180">
        <f>FamilyName&amp;" Group — Goals, Milestones &amp; Superannuation"</f>
        <v/>
      </c>
      <c r="D1" s="168" t="n"/>
      <c r="E1" s="168" t="n"/>
      <c r="F1" s="168" t="n"/>
      <c r="G1" s="168" t="n"/>
      <c r="H1" s="168" t="n"/>
      <c r="I1" s="168" t="n"/>
      <c r="J1" s="168" t="n"/>
      <c r="K1" s="168" t="n"/>
      <c r="L1" s="168" t="n"/>
      <c r="M1" s="168" t="n"/>
      <c r="N1" s="179" t="n"/>
      <c r="O1" s="179" t="n"/>
      <c r="P1" s="179" t="n"/>
      <c r="Q1" s="181" t="n"/>
    </row>
    <row r="2" ht="18" customHeight="1" s="163">
      <c r="A2" s="182" t="n"/>
      <c r="B2" s="182" t="n"/>
      <c r="C2" s="183">
        <f>"FY "&amp;FYYear&amp;"  ·  Baobab Consulting  ·  Confidential"</f>
        <v/>
      </c>
      <c r="D2" s="170" t="n"/>
      <c r="E2" s="170" t="n"/>
      <c r="F2" s="170" t="n"/>
      <c r="G2" s="170" t="n"/>
      <c r="H2" s="170" t="n"/>
      <c r="I2" s="170" t="n"/>
      <c r="J2" s="170" t="n"/>
      <c r="K2" s="170" t="n"/>
      <c r="L2" s="170" t="n"/>
      <c r="M2" s="170" t="n"/>
      <c r="N2" s="182" t="n"/>
      <c r="O2" s="182" t="n"/>
      <c r="P2" s="182" t="n"/>
      <c r="Q2" s="181" t="n"/>
    </row>
    <row r="3" ht="13.5" customHeight="1" s="163">
      <c r="A3" s="184" t="n"/>
      <c r="B3" s="171" t="inlineStr">
        <is>
          <t>© Baobab Group of Companies (incl. Baobab CFO Pty Ltd &amp; Baobab Consulting). No unauthorised use or reproduction without prior written permission.</t>
        </is>
      </c>
      <c r="C3" s="172" t="n"/>
      <c r="D3" s="172" t="n"/>
      <c r="E3" s="172" t="n"/>
      <c r="F3" s="172" t="n"/>
      <c r="G3" s="172" t="n"/>
      <c r="H3" s="172" t="n"/>
      <c r="I3" s="172" t="n"/>
      <c r="J3" s="172" t="n"/>
      <c r="K3" s="172" t="n"/>
      <c r="L3" s="172" t="n"/>
      <c r="M3" s="172" t="n"/>
      <c r="N3" s="184" t="n"/>
      <c r="O3" s="184" t="n"/>
      <c r="P3" s="184" t="n"/>
      <c r="Q3" s="181" t="n"/>
    </row>
    <row r="4" ht="21.75" customHeight="1" s="163">
      <c r="A4" s="172" t="n"/>
      <c r="B4" s="250" t="inlineStr">
        <is>
          <t>GOAL 1 — EMERGENCY FUND</t>
        </is>
      </c>
      <c r="C4" s="172" t="n"/>
      <c r="D4" s="172" t="n"/>
      <c r="E4" s="172" t="n"/>
      <c r="F4" s="172" t="n"/>
      <c r="G4" s="172" t="n"/>
      <c r="H4" s="172" t="n"/>
      <c r="I4" s="172" t="n"/>
      <c r="J4" s="172" t="n"/>
      <c r="K4" s="172" t="n"/>
      <c r="L4" s="172" t="n"/>
      <c r="M4" s="172" t="n"/>
      <c r="N4" s="172" t="n"/>
      <c r="O4" s="172" t="n"/>
      <c r="P4" s="172" t="n"/>
      <c r="Q4" s="172" t="n"/>
    </row>
    <row r="5" ht="30" customHeight="1" s="163">
      <c r="A5" s="172" t="n"/>
      <c r="B5" s="187" t="inlineStr">
        <is>
          <t>Item</t>
        </is>
      </c>
      <c r="C5" s="187" t="inlineStr">
        <is>
          <t>Target</t>
        </is>
      </c>
      <c r="D5" s="187" t="inlineStr">
        <is>
          <t>Current Balance</t>
        </is>
      </c>
      <c r="E5" s="187" t="inlineStr">
        <is>
          <t>Shortfall</t>
        </is>
      </c>
      <c r="F5" s="187" t="inlineStr">
        <is>
          <t>Months Coverage</t>
        </is>
      </c>
      <c r="G5" s="172" t="n"/>
      <c r="H5" s="172" t="n"/>
      <c r="I5" s="172" t="n"/>
      <c r="J5" s="172" t="n"/>
      <c r="K5" s="172" t="n"/>
      <c r="L5" s="172" t="n"/>
      <c r="M5" s="172" t="n"/>
      <c r="N5" s="172" t="n"/>
      <c r="O5" s="172" t="n"/>
      <c r="P5" s="172" t="n"/>
      <c r="Q5" s="172" t="n"/>
    </row>
    <row r="6" ht="18" customHeight="1" s="163">
      <c r="A6" s="172" t="n"/>
      <c r="B6" s="191" t="inlineStr">
        <is>
          <t>Emergency Fund</t>
        </is>
      </c>
      <c r="C6" s="243">
        <f>'🏠 Household Expenditure'!G109/2</f>
        <v/>
      </c>
      <c r="D6" s="249" t="n">
        <v>0</v>
      </c>
      <c r="E6" s="243">
        <f>MAX(0,C6-D6)</f>
        <v/>
      </c>
      <c r="F6" s="320">
        <f>IF(C6&gt;0,D6/(C6/6),0)</f>
        <v/>
      </c>
      <c r="G6" s="172" t="n"/>
      <c r="H6" s="172" t="n"/>
      <c r="I6" s="172" t="n"/>
      <c r="J6" s="172" t="n"/>
      <c r="K6" s="172" t="n"/>
      <c r="L6" s="172" t="n"/>
      <c r="M6" s="172" t="n"/>
      <c r="N6" s="172" t="n"/>
      <c r="O6" s="172" t="n"/>
      <c r="P6" s="172" t="n"/>
      <c r="Q6" s="172" t="n"/>
    </row>
    <row r="7">
      <c r="A7" s="172" t="n"/>
      <c r="B7" s="172" t="n"/>
      <c r="C7" s="172" t="n"/>
      <c r="D7" s="172" t="n"/>
      <c r="E7" s="172" t="n"/>
      <c r="F7" s="172" t="n"/>
      <c r="G7" s="172" t="n"/>
      <c r="H7" s="172" t="n"/>
      <c r="I7" s="172" t="n"/>
      <c r="J7" s="172" t="n"/>
      <c r="K7" s="172" t="n"/>
      <c r="L7" s="172" t="n"/>
      <c r="M7" s="172" t="n"/>
      <c r="N7" s="172" t="n"/>
      <c r="O7" s="172" t="n"/>
      <c r="P7" s="172" t="n"/>
      <c r="Q7" s="172" t="n"/>
    </row>
    <row r="8" ht="18" customHeight="1" s="163">
      <c r="A8" s="172" t="n"/>
      <c r="B8" s="240" t="inlineStr">
        <is>
          <t>GOAL TRACKER — SAVINGS GOALS</t>
        </is>
      </c>
      <c r="C8" s="198" t="n"/>
      <c r="D8" s="198" t="n"/>
      <c r="E8" s="198" t="n"/>
      <c r="F8" s="199" t="n"/>
      <c r="G8" s="172" t="n"/>
      <c r="H8" s="172" t="n"/>
      <c r="I8" s="172" t="n"/>
      <c r="J8" s="172" t="n"/>
      <c r="K8" s="172" t="n"/>
      <c r="L8" s="172" t="n"/>
      <c r="M8" s="172" t="n"/>
      <c r="N8" s="172" t="n"/>
      <c r="O8" s="172" t="n"/>
      <c r="P8" s="172" t="n"/>
      <c r="Q8" s="172" t="n"/>
    </row>
    <row r="9" ht="21.75" customHeight="1" s="163">
      <c r="A9" s="172" t="n"/>
      <c r="B9" s="187" t="inlineStr">
        <is>
          <t>Goal</t>
        </is>
      </c>
      <c r="C9" s="187" t="inlineStr">
        <is>
          <t>Target Amount</t>
        </is>
      </c>
      <c r="D9" s="187" t="inlineStr">
        <is>
          <t>Current Saved</t>
        </is>
      </c>
      <c r="E9" s="187" t="inlineStr">
        <is>
          <t>Target Date</t>
        </is>
      </c>
      <c r="F9" s="187" t="inlineStr">
        <is>
          <t>Monthly Req.</t>
        </is>
      </c>
      <c r="G9" s="172" t="n"/>
      <c r="H9" s="172" t="n"/>
      <c r="I9" s="172" t="n"/>
      <c r="J9" s="172" t="n"/>
      <c r="K9" s="172" t="n"/>
      <c r="L9" s="172" t="n"/>
      <c r="M9" s="172" t="n"/>
      <c r="N9" s="172" t="n"/>
      <c r="O9" s="172" t="n"/>
      <c r="P9" s="172" t="n"/>
      <c r="Q9" s="172" t="n"/>
    </row>
    <row r="10" ht="18" customHeight="1" s="163">
      <c r="A10" s="172" t="n"/>
      <c r="B10" s="200" t="inlineStr">
        <is>
          <t>Annual Overseas Holiday</t>
        </is>
      </c>
      <c r="C10" s="249" t="n">
        <v>15000</v>
      </c>
      <c r="D10" s="249" t="n">
        <v>0</v>
      </c>
      <c r="E10" s="321" t="inlineStr">
        <is>
          <t>Dec-25</t>
        </is>
      </c>
      <c r="F10" s="309">
        <f>IF(E10="",MAX(0,(C10-D10)/12),MAX(0,(C10-D10)/MAX(1,(YEAR(DATEVALUE("1-"&amp;E10))-YEAR(TODAY()))*12+(MONTH(DATEVALUE("1-"&amp;E10))-MONTH(TODAY())))))</f>
        <v/>
      </c>
      <c r="G10" s="172" t="n"/>
      <c r="H10" s="172" t="n"/>
      <c r="I10" s="172" t="n"/>
      <c r="J10" s="172" t="n"/>
      <c r="K10" s="172" t="n"/>
      <c r="L10" s="172" t="n"/>
      <c r="M10" s="172" t="n"/>
      <c r="N10" s="172" t="n"/>
      <c r="O10" s="172" t="n"/>
      <c r="P10" s="172" t="n"/>
      <c r="Q10" s="172" t="n"/>
    </row>
    <row r="11" ht="18" customHeight="1" s="163">
      <c r="A11" s="172" t="n"/>
      <c r="B11" s="245" t="inlineStr">
        <is>
          <t>Holiday Home / Short Stays</t>
        </is>
      </c>
      <c r="C11" s="249" t="n">
        <v>8000</v>
      </c>
      <c r="D11" s="249" t="n">
        <v>0</v>
      </c>
      <c r="E11" s="322" t="inlineStr">
        <is>
          <t>Dec-25</t>
        </is>
      </c>
      <c r="F11" s="312">
        <f>IF(E11="",MAX(0,(C11-D11)/12),MAX(0,(C11-D11)/MAX(1,(YEAR(DATEVALUE("1-"&amp;E11))-YEAR(TODAY()))*12+(MONTH(DATEVALUE("1-"&amp;E11))-MONTH(TODAY())))))</f>
        <v/>
      </c>
      <c r="G11" s="172" t="n"/>
      <c r="H11" s="172" t="n"/>
      <c r="I11" s="172" t="n"/>
      <c r="J11" s="172" t="n"/>
      <c r="K11" s="172" t="n"/>
      <c r="L11" s="172" t="n"/>
      <c r="M11" s="172" t="n"/>
      <c r="N11" s="172" t="n"/>
      <c r="O11" s="172" t="n"/>
      <c r="P11" s="172" t="n"/>
      <c r="Q11" s="172" t="n"/>
    </row>
    <row r="12" ht="18" customHeight="1" s="163">
      <c r="A12" s="172" t="n"/>
      <c r="B12" s="200" t="inlineStr">
        <is>
          <t>Education Fund — Child 1</t>
        </is>
      </c>
      <c r="C12" s="249" t="n">
        <v>50000</v>
      </c>
      <c r="D12" s="249" t="n">
        <v>0</v>
      </c>
      <c r="E12" s="321" t="inlineStr">
        <is>
          <t>Jan-30</t>
        </is>
      </c>
      <c r="F12" s="309">
        <f>IF(E12="",MAX(0,(C12-D12)/12),MAX(0,(C12-D12)/MAX(1,(YEAR(DATEVALUE("1-"&amp;E12))-YEAR(TODAY()))*12+(MONTH(DATEVALUE("1-"&amp;E12))-MONTH(TODAY())))))</f>
        <v/>
      </c>
      <c r="G12" s="172" t="n"/>
      <c r="H12" s="172" t="n"/>
      <c r="I12" s="172" t="n"/>
      <c r="J12" s="172" t="n"/>
      <c r="K12" s="172" t="n"/>
      <c r="L12" s="172" t="n"/>
      <c r="M12" s="172" t="n"/>
      <c r="N12" s="172" t="n"/>
      <c r="O12" s="172" t="n"/>
      <c r="P12" s="172" t="n"/>
      <c r="Q12" s="172" t="n"/>
    </row>
    <row r="13" ht="18" customHeight="1" s="163">
      <c r="A13" s="172" t="n"/>
      <c r="B13" s="245" t="inlineStr">
        <is>
          <t>Education Fund — Child 2</t>
        </is>
      </c>
      <c r="C13" s="249" t="n">
        <v>50000</v>
      </c>
      <c r="D13" s="249" t="n">
        <v>0</v>
      </c>
      <c r="E13" s="322" t="inlineStr">
        <is>
          <t>Jan-32</t>
        </is>
      </c>
      <c r="F13" s="312">
        <f>IF(E13="",MAX(0,(C13-D13)/12),MAX(0,(C13-D13)/MAX(1,(YEAR(DATEVALUE("1-"&amp;E13))-YEAR(TODAY()))*12+(MONTH(DATEVALUE("1-"&amp;E13))-MONTH(TODAY())))))</f>
        <v/>
      </c>
      <c r="G13" s="172" t="n"/>
      <c r="H13" s="172" t="n"/>
      <c r="I13" s="172" t="n"/>
      <c r="J13" s="172" t="n"/>
      <c r="K13" s="172" t="n"/>
      <c r="L13" s="172" t="n"/>
      <c r="M13" s="172" t="n"/>
      <c r="N13" s="172" t="n"/>
      <c r="O13" s="172" t="n"/>
      <c r="P13" s="172" t="n"/>
      <c r="Q13" s="172" t="n"/>
    </row>
    <row r="14" ht="18" customHeight="1" s="163">
      <c r="A14" s="172" t="n"/>
      <c r="B14" s="200" t="inlineStr">
        <is>
          <t>Car Replacement — Vehicle 1</t>
        </is>
      </c>
      <c r="C14" s="249" t="n">
        <v>40000</v>
      </c>
      <c r="D14" s="249" t="n">
        <v>0</v>
      </c>
      <c r="E14" s="321" t="inlineStr">
        <is>
          <t>Jun-27</t>
        </is>
      </c>
      <c r="F14" s="309">
        <f>IF(E14="",MAX(0,(C14-D14)/12),MAX(0,(C14-D14)/MAX(1,(YEAR(DATEVALUE("1-"&amp;E14))-YEAR(TODAY()))*12+(MONTH(DATEVALUE("1-"&amp;E14))-MONTH(TODAY())))))</f>
        <v/>
      </c>
      <c r="G14" s="172" t="n"/>
      <c r="H14" s="172" t="n"/>
      <c r="I14" s="172" t="n"/>
      <c r="J14" s="172" t="n"/>
      <c r="K14" s="172" t="n"/>
      <c r="L14" s="172" t="n"/>
      <c r="M14" s="172" t="n"/>
      <c r="N14" s="172" t="n"/>
      <c r="O14" s="172" t="n"/>
      <c r="P14" s="172" t="n"/>
      <c r="Q14" s="172" t="n"/>
    </row>
    <row r="15" ht="18" customHeight="1" s="163">
      <c r="A15" s="172" t="n"/>
      <c r="B15" s="245" t="inlineStr">
        <is>
          <t>Car Replacement — Vehicle 2</t>
        </is>
      </c>
      <c r="C15" s="249" t="n">
        <v>40000</v>
      </c>
      <c r="D15" s="249" t="n">
        <v>0</v>
      </c>
      <c r="E15" s="322" t="inlineStr">
        <is>
          <t>Jun-28</t>
        </is>
      </c>
      <c r="F15" s="312">
        <f>IF(E15="",MAX(0,(C15-D15)/12),MAX(0,(C15-D15)/MAX(1,(YEAR(DATEVALUE("1-"&amp;E15))-YEAR(TODAY()))*12+(MONTH(DATEVALUE("1-"&amp;E15))-MONTH(TODAY())))))</f>
        <v/>
      </c>
      <c r="G15" s="172" t="n"/>
      <c r="H15" s="172" t="n"/>
      <c r="I15" s="172" t="n"/>
      <c r="J15" s="172" t="n"/>
      <c r="K15" s="172" t="n"/>
      <c r="L15" s="172" t="n"/>
      <c r="M15" s="172" t="n"/>
      <c r="N15" s="172" t="n"/>
      <c r="O15" s="172" t="n"/>
      <c r="P15" s="172" t="n"/>
      <c r="Q15" s="172" t="n"/>
    </row>
    <row r="16" ht="18" customHeight="1" s="163">
      <c r="A16" s="172" t="n"/>
      <c r="B16" s="191" t="inlineStr">
        <is>
          <t>Home Renovation</t>
        </is>
      </c>
      <c r="C16" s="249" t="n">
        <v>50000</v>
      </c>
      <c r="D16" s="249" t="n">
        <v>0</v>
      </c>
      <c r="E16" s="321" t="inlineStr">
        <is>
          <t>Jun-26</t>
        </is>
      </c>
      <c r="F16" s="309">
        <f>IF(E16="",MAX(0,(C16-D16)/12),MAX(0,(C16-D16)/MAX(1,(YEAR(DATEVALUE("1-"&amp;E16))-YEAR(TODAY()))*12+(MONTH(DATEVALUE("1-"&amp;E16))-MONTH(TODAY())))))</f>
        <v/>
      </c>
      <c r="G16" s="172" t="n"/>
      <c r="H16" s="172" t="n"/>
      <c r="I16" s="172" t="n"/>
      <c r="J16" s="172" t="n"/>
      <c r="K16" s="172" t="n"/>
      <c r="L16" s="172" t="n"/>
      <c r="M16" s="172" t="n"/>
      <c r="N16" s="172" t="n"/>
      <c r="O16" s="172" t="n"/>
      <c r="P16" s="172" t="n"/>
      <c r="Q16" s="172" t="n"/>
    </row>
    <row r="17" ht="18" customHeight="1" s="163">
      <c r="A17" s="172" t="n"/>
      <c r="B17" s="245" t="inlineStr">
        <is>
          <t>Investment Property — Next Purchase</t>
        </is>
      </c>
      <c r="C17" s="249" t="n">
        <v>200000</v>
      </c>
      <c r="D17" s="249" t="n">
        <v>0</v>
      </c>
      <c r="E17" s="322" t="inlineStr">
        <is>
          <t>Jun-28</t>
        </is>
      </c>
      <c r="F17" s="312">
        <f>IF(E17="",MAX(0,(C17-D17)/12),MAX(0,(C17-D17)/MAX(1,(YEAR(DATEVALUE("1-"&amp;E17))-YEAR(TODAY()))*12+(MONTH(DATEVALUE("1-"&amp;E17))-MONTH(TODAY())))))</f>
        <v/>
      </c>
      <c r="G17" s="172" t="n"/>
      <c r="H17" s="172" t="n"/>
      <c r="I17" s="172" t="n"/>
      <c r="J17" s="172" t="n"/>
      <c r="K17" s="172" t="n"/>
      <c r="L17" s="172" t="n"/>
      <c r="M17" s="172" t="n"/>
      <c r="N17" s="172" t="n"/>
      <c r="O17" s="172" t="n"/>
      <c r="P17" s="172" t="n"/>
      <c r="Q17" s="172" t="n"/>
    </row>
    <row r="18" ht="18" customHeight="1" s="163">
      <c r="A18" s="172" t="n"/>
      <c r="B18" s="191" t="inlineStr">
        <is>
          <t>Other Goal 1</t>
        </is>
      </c>
      <c r="C18" s="249" t="n">
        <v>0</v>
      </c>
      <c r="D18" s="249" t="n">
        <v>0</v>
      </c>
      <c r="E18" s="321" t="n"/>
      <c r="F18" s="309">
        <f>IF(E18="",MAX(0,(C18-D18)/12),MAX(0,(C18-D18)/MAX(1,(YEAR(DATEVALUE("1-"&amp;E18))-YEAR(TODAY()))*12+(MONTH(DATEVALUE("1-"&amp;E18))-MONTH(TODAY())))))</f>
        <v/>
      </c>
      <c r="G18" s="172" t="n"/>
      <c r="H18" s="172" t="n"/>
      <c r="I18" s="172" t="n"/>
      <c r="J18" s="172" t="n"/>
      <c r="K18" s="172" t="n"/>
      <c r="L18" s="172" t="n"/>
      <c r="M18" s="172" t="n"/>
      <c r="N18" s="172" t="n"/>
      <c r="O18" s="172" t="n"/>
      <c r="P18" s="172" t="n"/>
      <c r="Q18" s="172" t="n"/>
    </row>
    <row r="19" ht="18" customHeight="1" s="163">
      <c r="A19" s="172" t="n"/>
      <c r="B19" s="194" t="inlineStr">
        <is>
          <t>Other Goal 2</t>
        </is>
      </c>
      <c r="C19" s="249" t="n">
        <v>0</v>
      </c>
      <c r="D19" s="249" t="n">
        <v>0</v>
      </c>
      <c r="E19" s="322" t="n"/>
      <c r="F19" s="312">
        <f>IF(E19="",MAX(0,(C19-D19)/12),MAX(0,(C19-D19)/MAX(1,(YEAR(DATEVALUE("1-"&amp;E19))-YEAR(TODAY()))*12+(MONTH(DATEVALUE("1-"&amp;E19))-MONTH(TODAY())))))</f>
        <v/>
      </c>
      <c r="G19" s="172" t="n"/>
      <c r="H19" s="172" t="n"/>
      <c r="I19" s="172" t="n"/>
      <c r="J19" s="172" t="n"/>
      <c r="K19" s="172" t="n"/>
      <c r="L19" s="172" t="n"/>
      <c r="M19" s="172" t="n"/>
      <c r="N19" s="172" t="n"/>
      <c r="O19" s="172" t="n"/>
      <c r="P19" s="172" t="n"/>
      <c r="Q19" s="172" t="n"/>
    </row>
    <row r="20">
      <c r="A20" s="172" t="n"/>
      <c r="B20" s="172" t="n"/>
      <c r="C20" s="172" t="n"/>
      <c r="D20" s="172" t="n"/>
      <c r="E20" s="172" t="n"/>
      <c r="F20" s="172" t="n"/>
      <c r="G20" s="172" t="n"/>
      <c r="H20" s="172" t="n"/>
      <c r="I20" s="172" t="n"/>
      <c r="J20" s="172" t="n"/>
      <c r="K20" s="172" t="n"/>
      <c r="L20" s="172" t="n"/>
      <c r="M20" s="172" t="n"/>
      <c r="N20" s="172" t="n"/>
      <c r="O20" s="172" t="n"/>
      <c r="P20" s="172" t="n"/>
      <c r="Q20" s="172" t="n"/>
    </row>
    <row r="21" ht="21.75" customHeight="1" s="163">
      <c r="A21" s="172" t="n"/>
      <c r="B21" s="187" t="inlineStr">
        <is>
          <t>SUPERANNUATION TRACKER</t>
        </is>
      </c>
      <c r="C21" s="198" t="n"/>
      <c r="D21" s="198" t="n"/>
      <c r="E21" s="198" t="n"/>
      <c r="F21" s="199" t="n"/>
      <c r="G21" s="172" t="n"/>
      <c r="H21" s="172" t="n"/>
      <c r="I21" s="172" t="n"/>
      <c r="J21" s="172" t="n"/>
      <c r="K21" s="172" t="n"/>
      <c r="L21" s="172" t="n"/>
      <c r="M21" s="172" t="n"/>
      <c r="N21" s="172" t="n"/>
      <c r="O21" s="172" t="n"/>
      <c r="P21" s="172" t="n"/>
      <c r="Q21" s="172" t="n"/>
    </row>
    <row r="22" ht="21.75" customHeight="1" s="163">
      <c r="A22" s="172" t="n"/>
      <c r="B22" s="187" t="inlineStr">
        <is>
          <t>Super Item</t>
        </is>
      </c>
      <c r="C22" s="185">
        <f>Person1</f>
        <v/>
      </c>
      <c r="D22" s="185">
        <f>Person2</f>
        <v/>
      </c>
      <c r="E22" s="187" t="inlineStr">
        <is>
          <t>Notes</t>
        </is>
      </c>
      <c r="F22" s="172" t="n"/>
      <c r="G22" s="172" t="n"/>
      <c r="H22" s="172" t="n"/>
      <c r="I22" s="172" t="n"/>
      <c r="J22" s="172" t="n"/>
      <c r="K22" s="172" t="n"/>
      <c r="L22" s="172" t="n"/>
      <c r="M22" s="172" t="n"/>
      <c r="N22" s="172" t="n"/>
      <c r="O22" s="172" t="n"/>
      <c r="P22" s="172" t="n"/>
      <c r="Q22" s="172" t="n"/>
    </row>
    <row r="23" ht="18" customHeight="1" s="163">
      <c r="A23" s="172" t="n"/>
      <c r="B23" s="200" t="inlineStr">
        <is>
          <t>Current Super Balance</t>
        </is>
      </c>
      <c r="C23" s="249" t="n">
        <v>0</v>
      </c>
      <c r="D23" s="249" t="n">
        <v>0</v>
      </c>
      <c r="E23" s="242" t="inlineStr">
        <is>
          <t>Enter current balance</t>
        </is>
      </c>
      <c r="F23" s="172" t="n"/>
      <c r="G23" s="172" t="n"/>
      <c r="H23" s="172" t="n"/>
      <c r="I23" s="172" t="n"/>
      <c r="J23" s="172" t="n"/>
      <c r="K23" s="172" t="n"/>
      <c r="L23" s="172" t="n"/>
      <c r="M23" s="172" t="n"/>
      <c r="N23" s="172" t="n"/>
      <c r="O23" s="172" t="n"/>
      <c r="P23" s="172" t="n"/>
      <c r="Q23" s="172" t="n"/>
    </row>
    <row r="24" ht="18" customHeight="1" s="163">
      <c r="A24" s="172" t="n"/>
      <c r="B24" s="194" t="inlineStr">
        <is>
          <t>Age</t>
        </is>
      </c>
      <c r="C24" s="311" t="n">
        <v>0</v>
      </c>
      <c r="D24" s="311" t="n">
        <v>0</v>
      </c>
      <c r="E24" s="244" t="inlineStr">
        <is>
          <t>Current age</t>
        </is>
      </c>
      <c r="F24" s="172" t="n"/>
      <c r="G24" s="172" t="n"/>
      <c r="H24" s="172" t="n"/>
      <c r="I24" s="172" t="n"/>
      <c r="J24" s="172" t="n"/>
      <c r="K24" s="172" t="n"/>
      <c r="L24" s="172" t="n"/>
      <c r="M24" s="172" t="n"/>
      <c r="N24" s="172" t="n"/>
      <c r="O24" s="172" t="n"/>
      <c r="P24" s="172" t="n"/>
      <c r="Q24" s="172" t="n"/>
    </row>
    <row r="25" ht="18" customHeight="1" s="163">
      <c r="A25" s="172" t="n"/>
      <c r="B25" s="200" t="inlineStr">
        <is>
          <t>Target Retirement Age</t>
        </is>
      </c>
      <c r="C25" s="311" t="n">
        <v>65</v>
      </c>
      <c r="D25" s="311" t="n">
        <v>65</v>
      </c>
      <c r="E25" s="242" t="inlineStr">
        <is>
          <t>Typical: 60-67</t>
        </is>
      </c>
      <c r="F25" s="172" t="n"/>
      <c r="G25" s="172" t="n"/>
      <c r="H25" s="172" t="n"/>
      <c r="I25" s="172" t="n"/>
      <c r="J25" s="172" t="n"/>
      <c r="K25" s="172" t="n"/>
      <c r="L25" s="172" t="n"/>
      <c r="M25" s="172" t="n"/>
      <c r="N25" s="172" t="n"/>
      <c r="O25" s="172" t="n"/>
      <c r="P25" s="172" t="n"/>
      <c r="Q25" s="172" t="n"/>
    </row>
    <row r="26" ht="18" customHeight="1" s="163">
      <c r="A26" s="172" t="n"/>
      <c r="B26" s="194" t="inlineStr">
        <is>
          <t>Years to Retirement</t>
        </is>
      </c>
      <c r="C26" s="323">
        <f>IF(C24&gt;0,MAX(0,C25-C24),0)</f>
        <v/>
      </c>
      <c r="D26" s="323">
        <f>IF(D24&gt;0,MAX(0,D25-D24),0)</f>
        <v/>
      </c>
      <c r="E26" s="244" t="inlineStr">
        <is>
          <t>Auto-calculated</t>
        </is>
      </c>
      <c r="F26" s="172" t="n"/>
      <c r="G26" s="172" t="n"/>
      <c r="H26" s="172" t="n"/>
      <c r="I26" s="172" t="n"/>
      <c r="J26" s="172" t="n"/>
      <c r="K26" s="172" t="n"/>
      <c r="L26" s="172" t="n"/>
      <c r="M26" s="172" t="n"/>
      <c r="N26" s="172" t="n"/>
      <c r="O26" s="172" t="n"/>
      <c r="P26" s="172" t="n"/>
      <c r="Q26" s="172" t="n"/>
    </row>
    <row r="27" ht="18" customHeight="1" s="163">
      <c r="A27" s="172" t="n"/>
      <c r="B27" s="200" t="inlineStr">
        <is>
          <t>Annual Super Contributions (Total)</t>
        </is>
      </c>
      <c r="C27" s="249">
        <f>'🧮 Tax Estimator'!C36+'🧮 Tax Estimator'!I7+'🧮 Tax Estimator'!I8</f>
        <v/>
      </c>
      <c r="D27" s="249">
        <f>'🧮 Tax Estimator'!D36+'🧮 Tax Estimator'!J7+'🧮 Tax Estimator'!J8</f>
        <v/>
      </c>
      <c r="E27" s="242" t="inlineStr">
        <is>
          <t>SGC + voluntary</t>
        </is>
      </c>
      <c r="F27" s="172" t="n"/>
      <c r="G27" s="172" t="n"/>
      <c r="H27" s="172" t="n"/>
      <c r="I27" s="172" t="n"/>
      <c r="J27" s="172" t="n"/>
      <c r="K27" s="172" t="n"/>
      <c r="L27" s="172" t="n"/>
      <c r="M27" s="172" t="n"/>
      <c r="N27" s="172" t="n"/>
      <c r="O27" s="172" t="n"/>
      <c r="P27" s="172" t="n"/>
      <c r="Q27" s="172" t="n"/>
    </row>
    <row r="28" ht="18" customHeight="1" s="163">
      <c r="A28" s="172" t="n"/>
      <c r="B28" s="245" t="inlineStr">
        <is>
          <t>Projected Super at Retirement</t>
        </is>
      </c>
      <c r="C28" s="243">
        <f>IF(C26&gt;0,FV(SuperGrowthRate,C26,-C27,-C23),C23)</f>
        <v/>
      </c>
      <c r="D28" s="243">
        <f>IF(D26&gt;0,FV(SuperGrowthRate,D26,-D27,-D23),D23)</f>
        <v/>
      </c>
      <c r="E28" s="244" t="inlineStr">
        <is>
          <t>7% p.a. growth est.</t>
        </is>
      </c>
      <c r="F28" s="172" t="n"/>
      <c r="G28" s="172" t="n"/>
      <c r="H28" s="172" t="n"/>
      <c r="I28" s="172" t="n"/>
      <c r="J28" s="172" t="n"/>
      <c r="K28" s="172" t="n"/>
      <c r="L28" s="172" t="n"/>
      <c r="M28" s="172" t="n"/>
      <c r="N28" s="172" t="n"/>
      <c r="O28" s="172" t="n"/>
      <c r="P28" s="172" t="n"/>
      <c r="Q28" s="172" t="n"/>
    </row>
    <row r="29" ht="18" customHeight="1" s="163">
      <c r="A29" s="172" t="n"/>
      <c r="B29" s="200" t="inlineStr">
        <is>
          <t>Target Super at Retirement</t>
        </is>
      </c>
      <c r="C29" s="249" t="n">
        <v>1500000</v>
      </c>
      <c r="D29" s="249" t="n">
        <v>1500000</v>
      </c>
      <c r="E29" s="242" t="inlineStr">
        <is>
          <t>ASFA comfortable single</t>
        </is>
      </c>
      <c r="F29" s="172" t="n"/>
      <c r="G29" s="172" t="n"/>
      <c r="H29" s="172" t="n"/>
      <c r="I29" s="172" t="n"/>
      <c r="J29" s="172" t="n"/>
      <c r="K29" s="172" t="n"/>
      <c r="L29" s="172" t="n"/>
      <c r="M29" s="172" t="n"/>
      <c r="N29" s="172" t="n"/>
      <c r="O29" s="172" t="n"/>
      <c r="P29" s="172" t="n"/>
      <c r="Q29" s="172" t="n"/>
    </row>
    <row r="30" ht="18" customHeight="1" s="163">
      <c r="A30" s="172" t="n"/>
      <c r="B30" s="194" t="inlineStr">
        <is>
          <t>Super Shortfall</t>
        </is>
      </c>
      <c r="C30" s="243">
        <f>MAX(0,C29-C28)</f>
        <v/>
      </c>
      <c r="D30" s="243">
        <f>MAX(0,D29-D28)</f>
        <v/>
      </c>
      <c r="E30" s="244" t="n"/>
      <c r="F30" s="172" t="n"/>
      <c r="G30" s="172" t="n"/>
      <c r="H30" s="172" t="n"/>
      <c r="I30" s="172" t="n"/>
      <c r="J30" s="172" t="n"/>
      <c r="K30" s="172" t="n"/>
      <c r="L30" s="172" t="n"/>
      <c r="M30" s="172" t="n"/>
      <c r="N30" s="172" t="n"/>
      <c r="O30" s="172" t="n"/>
      <c r="P30" s="172" t="n"/>
      <c r="Q30" s="172" t="n"/>
    </row>
    <row r="31">
      <c r="A31" s="172" t="n"/>
      <c r="B31" s="172" t="n"/>
      <c r="C31" s="172" t="n"/>
      <c r="D31" s="172" t="n"/>
      <c r="E31" s="172" t="n"/>
      <c r="F31" s="172" t="n"/>
      <c r="G31" s="172" t="n"/>
      <c r="H31" s="172" t="n"/>
      <c r="I31" s="172" t="n"/>
      <c r="J31" s="172" t="n"/>
      <c r="K31" s="172" t="n"/>
      <c r="L31" s="172" t="n"/>
      <c r="M31" s="172" t="n"/>
      <c r="N31" s="172" t="n"/>
      <c r="O31" s="172" t="n"/>
      <c r="P31" s="172" t="n"/>
      <c r="Q31" s="172" t="n"/>
    </row>
    <row r="32" ht="18" customHeight="1" s="163">
      <c r="A32" s="172" t="n"/>
      <c r="B32" s="240" t="inlineStr">
        <is>
          <t>RETIREMENT INCOME PLANNING</t>
        </is>
      </c>
      <c r="C32" s="198" t="n"/>
      <c r="D32" s="198" t="n"/>
      <c r="E32" s="198" t="n"/>
      <c r="F32" s="199" t="n"/>
      <c r="G32" s="172" t="n"/>
      <c r="H32" s="172" t="n"/>
      <c r="I32" s="172" t="n"/>
      <c r="J32" s="172" t="n"/>
      <c r="K32" s="172" t="n"/>
      <c r="L32" s="172" t="n"/>
      <c r="M32" s="172" t="n"/>
      <c r="N32" s="172" t="n"/>
      <c r="O32" s="172" t="n"/>
      <c r="P32" s="172" t="n"/>
      <c r="Q32" s="172" t="n"/>
    </row>
    <row r="33" ht="21.75" customHeight="1" s="163">
      <c r="A33" s="172" t="n"/>
      <c r="B33" s="187" t="inlineStr">
        <is>
          <t>Item</t>
        </is>
      </c>
      <c r="C33" s="185">
        <f>Person1</f>
        <v/>
      </c>
      <c r="D33" s="185">
        <f>Person2</f>
        <v/>
      </c>
      <c r="E33" s="187" t="inlineStr">
        <is>
          <t>Notes</t>
        </is>
      </c>
      <c r="F33" s="172" t="n"/>
      <c r="G33" s="172" t="n"/>
      <c r="H33" s="172" t="n"/>
      <c r="I33" s="172" t="n"/>
      <c r="J33" s="172" t="n"/>
      <c r="K33" s="172" t="n"/>
      <c r="L33" s="172" t="n"/>
      <c r="M33" s="172" t="n"/>
      <c r="N33" s="172" t="n"/>
      <c r="O33" s="172" t="n"/>
      <c r="P33" s="172" t="n"/>
      <c r="Q33" s="172" t="n"/>
    </row>
    <row r="34" ht="18" customHeight="1" s="163">
      <c r="A34" s="172" t="n"/>
      <c r="B34" s="200" t="inlineStr">
        <is>
          <t>Target Annual Income in Retirement</t>
        </is>
      </c>
      <c r="C34" s="309" t="n">
        <v>120000</v>
      </c>
      <c r="D34" s="309" t="n">
        <v>120000</v>
      </c>
      <c r="E34" s="242">
        <f>"ASFA comfortable lifestyle FY"&amp;FYYear</f>
        <v/>
      </c>
      <c r="F34" s="172" t="n"/>
      <c r="G34" s="172" t="n"/>
      <c r="H34" s="172" t="n"/>
      <c r="I34" s="172" t="n"/>
      <c r="J34" s="172" t="n"/>
      <c r="K34" s="172" t="n"/>
      <c r="L34" s="172" t="n"/>
      <c r="M34" s="172" t="n"/>
      <c r="N34" s="172" t="n"/>
      <c r="O34" s="172" t="n"/>
      <c r="P34" s="172" t="n"/>
      <c r="Q34" s="172" t="n"/>
    </row>
    <row r="35" ht="18" customHeight="1" s="163">
      <c r="A35" s="172" t="n"/>
      <c r="B35" s="245" t="inlineStr">
        <is>
          <t>Expected Annual Pension Age Pension</t>
        </is>
      </c>
      <c r="C35" s="312" t="n">
        <v>0</v>
      </c>
      <c r="D35" s="312" t="n">
        <v>0</v>
      </c>
      <c r="E35" s="244" t="inlineStr">
        <is>
          <t>If eligible (FY26: ~$30,000 pa couples)</t>
        </is>
      </c>
      <c r="F35" s="172" t="n"/>
      <c r="G35" s="172" t="n"/>
      <c r="H35" s="172" t="n"/>
      <c r="I35" s="172" t="n"/>
      <c r="J35" s="172" t="n"/>
      <c r="K35" s="172" t="n"/>
      <c r="L35" s="172" t="n"/>
      <c r="M35" s="172" t="n"/>
      <c r="N35" s="172" t="n"/>
      <c r="O35" s="172" t="n"/>
      <c r="P35" s="172" t="n"/>
      <c r="Q35" s="172" t="n"/>
    </row>
    <row r="36" ht="18" customHeight="1" s="163">
      <c r="A36" s="172" t="n"/>
      <c r="B36" s="200" t="inlineStr">
        <is>
          <t>Net Annual Income from Super</t>
        </is>
      </c>
      <c r="C36" s="309">
        <f>C28*DrawdownRate</f>
        <v/>
      </c>
      <c r="D36" s="309">
        <f>D28*DrawdownRate</f>
        <v/>
      </c>
      <c r="E36" s="242" t="inlineStr">
        <is>
          <t>Auto calc or enter</t>
        </is>
      </c>
      <c r="F36" s="172" t="n"/>
      <c r="G36" s="172" t="n"/>
      <c r="H36" s="172" t="n"/>
      <c r="I36" s="172" t="n"/>
      <c r="J36" s="172" t="n"/>
      <c r="K36" s="172" t="n"/>
      <c r="L36" s="172" t="n"/>
      <c r="M36" s="172" t="n"/>
      <c r="N36" s="172" t="n"/>
      <c r="O36" s="172" t="n"/>
      <c r="P36" s="172" t="n"/>
      <c r="Q36" s="172" t="n"/>
    </row>
    <row r="37" ht="18" customHeight="1" s="163">
      <c r="A37" s="172" t="n"/>
      <c r="B37" s="245" t="inlineStr">
        <is>
          <t>Rental Income (in retirement)</t>
        </is>
      </c>
      <c r="C37" s="312" t="n">
        <v>0</v>
      </c>
      <c r="D37" s="312" t="n">
        <v>0</v>
      </c>
      <c r="E37" s="244" t="inlineStr">
        <is>
          <t>From investment properties</t>
        </is>
      </c>
      <c r="F37" s="172" t="n"/>
      <c r="G37" s="172" t="n"/>
      <c r="H37" s="172" t="n"/>
      <c r="I37" s="172" t="n"/>
      <c r="J37" s="172" t="n"/>
      <c r="K37" s="172" t="n"/>
      <c r="L37" s="172" t="n"/>
      <c r="M37" s="172" t="n"/>
      <c r="N37" s="172" t="n"/>
      <c r="O37" s="172" t="n"/>
      <c r="P37" s="172" t="n"/>
      <c r="Q37" s="172" t="n"/>
    </row>
    <row r="38" ht="18" customHeight="1" s="163">
      <c r="A38" s="172" t="n"/>
      <c r="B38" s="200" t="inlineStr">
        <is>
          <t>Annual Shortfall / Surplus</t>
        </is>
      </c>
      <c r="C38" s="309">
        <f>C35+C36+C37-C34</f>
        <v/>
      </c>
      <c r="D38" s="309">
        <f>D35+D36+D37-D34</f>
        <v/>
      </c>
      <c r="E38" s="242" t="n"/>
      <c r="F38" s="172" t="n"/>
      <c r="G38" s="172" t="n"/>
      <c r="H38" s="172" t="n"/>
      <c r="I38" s="172" t="n"/>
      <c r="J38" s="172" t="n"/>
      <c r="K38" s="172" t="n"/>
      <c r="L38" s="172" t="n"/>
      <c r="M38" s="172" t="n"/>
      <c r="N38" s="172" t="n"/>
      <c r="O38" s="172" t="n"/>
      <c r="P38" s="172" t="n"/>
      <c r="Q38" s="172" t="n"/>
    </row>
    <row r="39">
      <c r="A39" s="172" t="n"/>
      <c r="B39" s="172" t="n"/>
      <c r="C39" s="172" t="n"/>
      <c r="D39" s="172" t="n"/>
      <c r="E39" s="172" t="n"/>
      <c r="F39" s="172" t="n"/>
      <c r="G39" s="172" t="n"/>
      <c r="H39" s="172" t="n"/>
      <c r="I39" s="172" t="n"/>
      <c r="J39" s="172" t="n"/>
      <c r="K39" s="172" t="n"/>
      <c r="L39" s="172" t="n"/>
      <c r="M39" s="172" t="n"/>
      <c r="N39" s="172" t="n"/>
      <c r="O39" s="172" t="n"/>
      <c r="P39" s="172" t="n"/>
      <c r="Q39" s="172" t="n"/>
    </row>
    <row r="40">
      <c r="A40" s="172" t="n"/>
      <c r="B40" s="172" t="n"/>
      <c r="C40" s="172" t="n"/>
      <c r="D40" s="172" t="n"/>
      <c r="E40" s="172" t="n"/>
      <c r="F40" s="172" t="n"/>
      <c r="G40" s="172" t="n"/>
      <c r="H40" s="172" t="n"/>
      <c r="I40" s="172" t="n"/>
      <c r="J40" s="172" t="n"/>
      <c r="K40" s="172" t="n"/>
      <c r="L40" s="172" t="n"/>
      <c r="M40" s="172" t="n"/>
      <c r="N40" s="172" t="n"/>
      <c r="O40" s="172" t="n"/>
      <c r="P40" s="172" t="n"/>
      <c r="Q40" s="172" t="n"/>
    </row>
    <row r="41" ht="18" customHeight="1" s="163">
      <c r="A41" s="172" t="n"/>
      <c r="B41" s="202" t="inlineStr">
        <is>
          <t>📋 HOW TO USE — GOALS &amp; MILESTONES</t>
        </is>
      </c>
      <c r="C41" s="203" t="n"/>
      <c r="D41" s="203" t="n"/>
      <c r="E41" s="203" t="n"/>
      <c r="F41" s="203" t="n"/>
      <c r="G41" s="203" t="n"/>
      <c r="H41" s="203" t="n"/>
      <c r="I41" s="204" t="n"/>
      <c r="J41" s="172" t="n"/>
      <c r="K41" s="172" t="n"/>
      <c r="L41" s="172" t="n"/>
      <c r="M41" s="172" t="n"/>
      <c r="N41" s="172" t="n"/>
      <c r="O41" s="172" t="n"/>
      <c r="P41" s="172" t="n"/>
      <c r="Q41" s="172" t="n"/>
    </row>
    <row r="42" ht="36" customHeight="1" s="163">
      <c r="A42" s="172" t="n"/>
      <c r="B42" s="205" t="inlineStr">
        <is>
          <t>Track every financial goal in one place. Monthly Required auto-calculates how much to save each month.</t>
        </is>
      </c>
      <c r="C42" s="204" t="n"/>
      <c r="D42" s="206" t="n"/>
      <c r="E42" s="203" t="n"/>
      <c r="F42" s="203" t="n"/>
      <c r="G42" s="203" t="n"/>
      <c r="H42" s="203" t="n"/>
      <c r="I42" s="204" t="n"/>
      <c r="J42" s="172" t="n"/>
      <c r="K42" s="172" t="n"/>
      <c r="L42" s="172" t="n"/>
      <c r="M42" s="172" t="n"/>
      <c r="N42" s="172" t="n"/>
      <c r="O42" s="172" t="n"/>
      <c r="P42" s="172" t="n"/>
      <c r="Q42" s="172" t="n"/>
    </row>
    <row r="43" ht="18" customHeight="1" s="163">
      <c r="A43" s="172" t="n"/>
      <c r="B43" s="207" t="inlineStr">
        <is>
          <t>→  Emergency Fund</t>
        </is>
      </c>
      <c r="C43" s="204" t="n"/>
      <c r="D43" s="208" t="inlineStr">
        <is>
          <t>Auto-targets 6 months of expenses from the Household Expenditure tab. Fill in Current Balance.</t>
        </is>
      </c>
      <c r="E43" s="203" t="n"/>
      <c r="F43" s="203" t="n"/>
      <c r="G43" s="203" t="n"/>
      <c r="H43" s="203" t="n"/>
      <c r="I43" s="204" t="n"/>
      <c r="J43" s="172" t="n"/>
      <c r="K43" s="172" t="n"/>
      <c r="L43" s="172" t="n"/>
      <c r="M43" s="172" t="n"/>
      <c r="N43" s="172" t="n"/>
      <c r="O43" s="172" t="n"/>
      <c r="P43" s="172" t="n"/>
      <c r="Q43" s="172" t="n"/>
    </row>
    <row r="44" ht="18" customHeight="1" s="163">
      <c r="A44" s="172" t="n"/>
      <c r="B44" s="302" t="inlineStr">
        <is>
          <t>→  Savings Goals table</t>
        </is>
      </c>
      <c r="C44" s="204" t="n"/>
      <c r="D44" s="206" t="inlineStr">
        <is>
          <t>Enter Target Amount, Current Saved, and Target Date. Monthly Required calculates automatically.</t>
        </is>
      </c>
      <c r="E44" s="203" t="n"/>
      <c r="F44" s="203" t="n"/>
      <c r="G44" s="203" t="n"/>
      <c r="H44" s="203" t="n"/>
      <c r="I44" s="204" t="n"/>
      <c r="J44" s="172" t="n"/>
      <c r="K44" s="172" t="n"/>
      <c r="L44" s="172" t="n"/>
      <c r="M44" s="172" t="n"/>
      <c r="N44" s="172" t="n"/>
      <c r="O44" s="172" t="n"/>
      <c r="P44" s="172" t="n"/>
      <c r="Q44" s="172" t="n"/>
    </row>
    <row r="45" ht="18" customHeight="1" s="163">
      <c r="A45" s="172" t="n"/>
      <c r="B45" s="210" t="inlineStr">
        <is>
          <t>→  Superannuation section</t>
        </is>
      </c>
      <c r="C45" s="204" t="n"/>
      <c r="D45" s="208" t="inlineStr">
        <is>
          <t>Enter current balance and age. Review annually at end of financial year.</t>
        </is>
      </c>
      <c r="E45" s="203" t="n"/>
      <c r="F45" s="203" t="n"/>
      <c r="G45" s="203" t="n"/>
      <c r="H45" s="203" t="n"/>
      <c r="I45" s="204" t="n"/>
      <c r="J45" s="172" t="n"/>
      <c r="K45" s="172" t="n"/>
      <c r="L45" s="172" t="n"/>
      <c r="M45" s="172" t="n"/>
      <c r="N45" s="172" t="n"/>
      <c r="O45" s="172" t="n"/>
      <c r="P45" s="172" t="n"/>
      <c r="Q45" s="172" t="n"/>
    </row>
    <row r="46" ht="18" customHeight="1" s="163">
      <c r="A46" s="172" t="n"/>
      <c r="B46" s="302">
        <f>"→  SGC Rate FY"&amp;FYYear&amp;": 12%"</f>
        <v/>
      </c>
      <c r="C46" s="204" t="n"/>
      <c r="D46" s="206" t="inlineStr">
        <is>
          <t>12% — if employer pays less, report to ATO via the Super Guarantee Charge process.</t>
        </is>
      </c>
      <c r="E46" s="203" t="n"/>
      <c r="F46" s="203" t="n"/>
      <c r="G46" s="203" t="n"/>
      <c r="H46" s="203" t="n"/>
      <c r="I46" s="204" t="n"/>
      <c r="J46" s="172" t="n"/>
      <c r="K46" s="172" t="n"/>
      <c r="L46" s="172" t="n"/>
      <c r="M46" s="172" t="n"/>
      <c r="N46" s="172" t="n"/>
      <c r="O46" s="172" t="n"/>
      <c r="P46" s="172" t="n"/>
      <c r="Q46" s="172" t="n"/>
    </row>
    <row r="47" ht="18" customHeight="1" s="163">
      <c r="A47" s="172" t="n"/>
      <c r="B47" s="207" t="inlineStr">
        <is>
          <t>→  Concessional Cap</t>
        </is>
      </c>
      <c r="C47" s="204" t="n"/>
      <c r="D47" s="208" t="inlineStr">
        <is>
          <t>$30,000 total (SGC + salary sacrifice + personal deductible). Unused caps can carry forward.</t>
        </is>
      </c>
      <c r="E47" s="203" t="n"/>
      <c r="F47" s="203" t="n"/>
      <c r="G47" s="203" t="n"/>
      <c r="H47" s="203" t="n"/>
      <c r="I47" s="204" t="n"/>
      <c r="J47" s="172" t="n"/>
      <c r="K47" s="172" t="n"/>
      <c r="L47" s="172" t="n"/>
      <c r="M47" s="172" t="n"/>
      <c r="N47" s="172" t="n"/>
      <c r="O47" s="172" t="n"/>
      <c r="P47" s="172" t="n"/>
      <c r="Q47" s="172" t="n"/>
    </row>
    <row r="48" ht="18" customHeight="1" s="163">
      <c r="A48" s="172" t="n"/>
      <c r="B48" s="302" t="inlineStr">
        <is>
          <t>→  Retirement Planning</t>
        </is>
      </c>
      <c r="C48" s="204" t="n"/>
      <c r="D48" s="206">
        <f>"ASFA comfortable lifestyle FY"&amp;FYYear</f>
        <v/>
      </c>
      <c r="E48" s="203" t="n"/>
      <c r="F48" s="203" t="n"/>
      <c r="G48" s="203" t="n"/>
      <c r="H48" s="203" t="n"/>
      <c r="I48" s="204" t="n"/>
      <c r="J48" s="172" t="n"/>
      <c r="K48" s="172" t="n"/>
      <c r="L48" s="172" t="n"/>
      <c r="M48" s="172" t="n"/>
      <c r="N48" s="172" t="n"/>
      <c r="O48" s="172" t="n"/>
      <c r="P48" s="172" t="n"/>
      <c r="Q48" s="172" t="n"/>
    </row>
    <row r="49" ht="18" customHeight="1" s="163">
      <c r="A49" s="172" t="n"/>
      <c r="B49" s="207" t="inlineStr">
        <is>
          <t>💡 Tip</t>
        </is>
      </c>
      <c r="C49" s="204" t="n"/>
      <c r="D49" s="208" t="inlineStr">
        <is>
          <t>Review this tab every 6 months. Small increases to savings goals early make a large difference over 20+ years.</t>
        </is>
      </c>
      <c r="E49" s="203" t="n"/>
      <c r="F49" s="203" t="n"/>
      <c r="G49" s="203" t="n"/>
      <c r="H49" s="203" t="n"/>
      <c r="I49" s="204" t="n"/>
      <c r="J49" s="172" t="n"/>
      <c r="K49" s="172" t="n"/>
      <c r="L49" s="172" t="n"/>
      <c r="M49" s="172" t="n"/>
      <c r="N49" s="172" t="n"/>
      <c r="O49" s="172" t="n"/>
      <c r="P49" s="172" t="n"/>
      <c r="Q49" s="172" t="n"/>
    </row>
    <row r="50">
      <c r="A50" s="172" t="n"/>
      <c r="B50" s="172" t="n"/>
      <c r="C50" s="172" t="n"/>
      <c r="D50" s="172" t="n"/>
      <c r="E50" s="172" t="n"/>
      <c r="F50" s="172" t="n"/>
      <c r="G50" s="172" t="n"/>
      <c r="H50" s="172" t="n"/>
      <c r="I50" s="172" t="n"/>
      <c r="J50" s="172" t="n"/>
      <c r="K50" s="172" t="n"/>
      <c r="L50" s="172" t="n"/>
      <c r="M50" s="172" t="n"/>
      <c r="N50" s="172" t="n"/>
      <c r="O50" s="172" t="n"/>
      <c r="P50" s="172" t="n"/>
      <c r="Q50" s="172" t="n"/>
    </row>
    <row r="51" ht="1.5" customHeight="1" s="163">
      <c r="A51" s="172" t="n"/>
      <c r="B51" s="217" t="n"/>
      <c r="C51" s="217" t="n"/>
      <c r="D51" s="217" t="n"/>
      <c r="E51" s="217" t="n"/>
      <c r="F51" s="217" t="n"/>
      <c r="G51" s="217" t="n"/>
      <c r="H51" s="217" t="n"/>
      <c r="I51" s="217" t="n"/>
      <c r="J51" s="217" t="n"/>
      <c r="K51" s="172" t="n"/>
      <c r="L51" s="172" t="n"/>
      <c r="M51" s="172" t="n"/>
      <c r="N51" s="172" t="n"/>
      <c r="O51" s="172" t="n"/>
      <c r="P51" s="172" t="n"/>
      <c r="Q51" s="172" t="n"/>
    </row>
    <row r="52" ht="18" customHeight="1" s="163">
      <c r="A52" s="172" t="n"/>
      <c r="B52" s="218">
        <f>"Prepared by Baobab Consulting  ·  Commercial in Confidence — "&amp;FamilyName&amp;" Group  ·  FY "&amp;FYYear</f>
        <v/>
      </c>
      <c r="C52" s="172" t="n"/>
      <c r="D52" s="172" t="n"/>
      <c r="E52" s="172" t="n"/>
      <c r="F52" s="172" t="n"/>
      <c r="G52" s="172" t="n"/>
      <c r="H52" s="172" t="n"/>
      <c r="I52" s="172" t="n"/>
      <c r="J52" s="172" t="n"/>
      <c r="K52" s="172" t="n"/>
      <c r="L52" s="172" t="n"/>
      <c r="M52" s="172" t="n"/>
      <c r="N52" s="172" t="n"/>
      <c r="O52" s="172" t="n"/>
      <c r="P52" s="172" t="n"/>
      <c r="Q52" s="172" t="n"/>
    </row>
  </sheetData>
  <mergeCells count="24">
    <mergeCell ref="D49:I49"/>
    <mergeCell ref="B47:C47"/>
    <mergeCell ref="B46:C46"/>
    <mergeCell ref="D48:I48"/>
    <mergeCell ref="B43:C43"/>
    <mergeCell ref="D47:I47"/>
    <mergeCell ref="B21:F21"/>
    <mergeCell ref="D43:I43"/>
    <mergeCell ref="B48:C48"/>
    <mergeCell ref="C1:M1"/>
    <mergeCell ref="B42:C42"/>
    <mergeCell ref="B8:F8"/>
    <mergeCell ref="B44:C44"/>
    <mergeCell ref="D42:I42"/>
    <mergeCell ref="C2:M2"/>
    <mergeCell ref="D44:I44"/>
    <mergeCell ref="B49:C49"/>
    <mergeCell ref="B3:M3"/>
    <mergeCell ref="D46:I46"/>
    <mergeCell ref="B45:C45"/>
    <mergeCell ref="D45:I45"/>
    <mergeCell ref="B32:F32"/>
    <mergeCell ref="B41:I41"/>
    <mergeCell ref="B52:J52"/>
  </mergeCells>
  <printOptions horizontalCentered="0" verticalCentered="0" headings="0" gridLines="0" gridLinesSet="1"/>
  <pageMargins left="0.75" right="0.75" top="1" bottom="1" header="0.511805555555556" footer="0.511805555555556"/>
  <pageSetup orientation="portrait" paperSize="9" scale="100" fitToHeight="1" fitToWidth="1" pageOrder="downThenOver" blackAndWhite="0" draft="0" horizontalDpi="300" verticalDpi="300" copies="1"/>
  <headerFooter differentOddEven="0" differentFirst="0">
    <oddHeader>&amp;L&amp;"Calibri,Bold"&amp;9 Baobab Consulting  ·  CONFIDENTIAL&amp;R&amp;8 Page &amp;P of &amp;N  ·  FY &amp;D</oddHeader>
    <oddFooter>&amp;C&amp;"Calibri,Italic"&amp;7 © Baobab Group of Companies (Baobab CFO Pty Ltd Baobab Consulting). No unauthorised use or reproduction without prior written permission.</oddFooter>
    <evenHeader/>
    <evenFooter/>
    <firstHeader/>
    <firstFooter/>
  </headerFooter>
  <drawing xmlns:r="http://schemas.openxmlformats.org/officeDocument/2006/relationships" r:id="rId1"/>
</worksheet>
</file>

<file path=xl/worksheets/sheet11.xml><?xml version="1.0" encoding="utf-8"?>
<worksheet xmlns="http://schemas.openxmlformats.org/spreadsheetml/2006/main">
  <sheetPr filterMode="0">
    <outlinePr summaryBelow="1" summaryRight="1"/>
    <pageSetUpPr fitToPage="0"/>
  </sheetPr>
  <dimension ref="A1:L37"/>
  <sheetViews>
    <sheetView showFormulas="0" showGridLines="0" showRowColHeaders="1" showZeros="1" rightToLeft="0" tabSelected="0" showOutlineSymbols="1" defaultGridColor="1"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baseColWidth="8" defaultColWidth="8.71484375" defaultRowHeight="15" zeroHeight="0" outlineLevelRow="0"/>
  <cols>
    <col width="2" customWidth="1" style="162" min="1" max="1"/>
    <col width="32" customWidth="1" style="162" min="2" max="2"/>
    <col width="16" customWidth="1" style="162" min="3" max="5"/>
  </cols>
  <sheetData>
    <row r="1" ht="90" customHeight="1" s="163">
      <c r="A1" s="179" t="n"/>
      <c r="B1" s="179" t="n"/>
      <c r="C1" s="180">
        <f>FamilyName&amp;" Group — Household Planning Summary"</f>
        <v/>
      </c>
      <c r="D1" s="168" t="n"/>
      <c r="E1" s="168" t="n"/>
      <c r="F1" s="168" t="n"/>
      <c r="G1" s="168" t="n"/>
      <c r="H1" s="168" t="n"/>
      <c r="I1" s="179" t="n"/>
      <c r="J1" s="179" t="n"/>
      <c r="K1" s="179" t="n"/>
      <c r="L1" s="181" t="n"/>
    </row>
    <row r="2" ht="18" customHeight="1" s="163">
      <c r="A2" s="182" t="n"/>
      <c r="B2" s="182" t="n"/>
      <c r="C2" s="183">
        <f>"FY "&amp;FYYear&amp;"  ·  Baobab Consulting  ·  Confidential"</f>
        <v/>
      </c>
      <c r="D2" s="170" t="n"/>
      <c r="E2" s="170" t="n"/>
      <c r="F2" s="170" t="n"/>
      <c r="G2" s="170" t="n"/>
      <c r="H2" s="170" t="n"/>
      <c r="I2" s="182" t="n"/>
      <c r="J2" s="182" t="n"/>
      <c r="K2" s="182" t="n"/>
      <c r="L2" s="181" t="n"/>
    </row>
    <row r="3" ht="13.5" customHeight="1" s="163">
      <c r="A3" s="184" t="n"/>
      <c r="B3" s="171" t="inlineStr">
        <is>
          <t>© Baobab Group of Companies (incl. Baobab CFO Pty Ltd &amp; Baobab Consulting). No unauthorised use or reproduction without prior written permission.</t>
        </is>
      </c>
      <c r="C3" s="172" t="n"/>
      <c r="D3" s="172" t="n"/>
      <c r="E3" s="172" t="n"/>
      <c r="F3" s="172" t="n"/>
      <c r="G3" s="172" t="n"/>
      <c r="H3" s="172" t="n"/>
      <c r="I3" s="184" t="n"/>
      <c r="J3" s="184" t="n"/>
      <c r="K3" s="184" t="n"/>
      <c r="L3" s="181" t="n"/>
    </row>
    <row r="4" ht="30" customHeight="1" s="163">
      <c r="A4" s="172" t="n"/>
      <c r="B4" s="187" t="inlineStr">
        <is>
          <t>Category</t>
        </is>
      </c>
      <c r="C4" s="187" t="inlineStr">
        <is>
          <t>Weekly</t>
        </is>
      </c>
      <c r="D4" s="187" t="inlineStr">
        <is>
          <t>Monthly</t>
        </is>
      </c>
      <c r="E4" s="187" t="inlineStr">
        <is>
          <t>Annual</t>
        </is>
      </c>
      <c r="F4" s="172" t="n"/>
      <c r="G4" s="172" t="n"/>
      <c r="H4" s="172" t="n"/>
      <c r="I4" s="172" t="n"/>
      <c r="J4" s="172" t="n"/>
      <c r="K4" s="172" t="n"/>
      <c r="L4" s="172" t="n"/>
    </row>
    <row r="5" ht="21.75" customHeight="1" s="163">
      <c r="A5" s="172" t="n"/>
      <c r="B5" s="185" t="inlineStr">
        <is>
          <t>INCOME</t>
        </is>
      </c>
      <c r="C5" s="198" t="n"/>
      <c r="D5" s="198" t="n"/>
      <c r="E5" s="199" t="n"/>
      <c r="F5" s="172" t="n"/>
      <c r="G5" s="172" t="n"/>
      <c r="H5" s="172" t="n"/>
      <c r="I5" s="172" t="n"/>
      <c r="J5" s="172" t="n"/>
      <c r="K5" s="172" t="n"/>
      <c r="L5" s="172" t="n"/>
    </row>
    <row r="6" ht="18" customHeight="1" s="163">
      <c r="A6" s="172" t="n"/>
      <c r="B6" s="191" t="inlineStr">
        <is>
          <t>Salary / Wages (net take-home)</t>
        </is>
      </c>
      <c r="C6" s="309">
        <f>'💰 Income Planning'!F22*12/52</f>
        <v/>
      </c>
      <c r="D6" s="309">
        <f>'💰 Income Planning'!F22</f>
        <v/>
      </c>
      <c r="E6" s="309">
        <f>'💰 Income Planning'!F22*12</f>
        <v/>
      </c>
      <c r="F6" s="172" t="n"/>
      <c r="G6" s="172" t="n"/>
      <c r="H6" s="172" t="n"/>
      <c r="I6" s="172" t="n"/>
      <c r="J6" s="172" t="n"/>
      <c r="K6" s="172" t="n"/>
      <c r="L6" s="172" t="n"/>
    </row>
    <row r="7" ht="18" customHeight="1" s="163">
      <c r="A7" s="172" t="n"/>
      <c r="B7" s="194" t="inlineStr">
        <is>
          <t>Trust / Dividends</t>
        </is>
      </c>
      <c r="C7" s="312">
        <f>'💰 Income Planning'!F10*12/52</f>
        <v/>
      </c>
      <c r="D7" s="312">
        <f>'💰 Income Planning'!F10</f>
        <v/>
      </c>
      <c r="E7" s="312">
        <f>'💰 Income Planning'!F10*12</f>
        <v/>
      </c>
      <c r="F7" s="172" t="n"/>
      <c r="G7" s="172" t="n"/>
      <c r="H7" s="172" t="n"/>
      <c r="I7" s="172" t="n"/>
      <c r="J7" s="172" t="n"/>
      <c r="K7" s="172" t="n"/>
      <c r="L7" s="172" t="n"/>
    </row>
    <row r="8" ht="18" customHeight="1" s="163">
      <c r="A8" s="172" t="n"/>
      <c r="B8" s="191" t="inlineStr">
        <is>
          <t>Consulting</t>
        </is>
      </c>
      <c r="C8" s="309">
        <f>'💰 Income Planning'!F16*12/52</f>
        <v/>
      </c>
      <c r="D8" s="309">
        <f>'💰 Income Planning'!F16</f>
        <v/>
      </c>
      <c r="E8" s="309">
        <f>'💰 Income Planning'!F16*12</f>
        <v/>
      </c>
      <c r="F8" s="172" t="n"/>
      <c r="G8" s="172" t="n"/>
      <c r="H8" s="172" t="n"/>
      <c r="I8" s="172" t="n"/>
      <c r="J8" s="172" t="n"/>
      <c r="K8" s="172" t="n"/>
      <c r="L8" s="172" t="n"/>
    </row>
    <row r="9" ht="18" customHeight="1" s="163">
      <c r="A9" s="172" t="n"/>
      <c r="B9" s="194" t="inlineStr">
        <is>
          <t>Investment Returns</t>
        </is>
      </c>
      <c r="C9" s="312">
        <f>'💰 Income Planning'!F28*12/52</f>
        <v/>
      </c>
      <c r="D9" s="312">
        <f>'💰 Income Planning'!F28</f>
        <v/>
      </c>
      <c r="E9" s="312">
        <f>'💰 Income Planning'!F28*12</f>
        <v/>
      </c>
      <c r="F9" s="172" t="n"/>
      <c r="G9" s="172" t="n"/>
      <c r="H9" s="172" t="n"/>
      <c r="I9" s="172" t="n"/>
      <c r="J9" s="172" t="n"/>
      <c r="K9" s="172" t="n"/>
      <c r="L9" s="172" t="n"/>
    </row>
    <row r="10" ht="18" customHeight="1" s="163">
      <c r="A10" s="172" t="n"/>
      <c r="B10" s="191" t="inlineStr">
        <is>
          <t>Net Rental Income</t>
        </is>
      </c>
      <c r="C10" s="309">
        <f>'🏘 Rental Properties'!O11/52</f>
        <v/>
      </c>
      <c r="D10" s="309">
        <f>'🏘 Rental Properties'!O11/12</f>
        <v/>
      </c>
      <c r="E10" s="309">
        <f>'🏘 Rental Properties'!O11</f>
        <v/>
      </c>
      <c r="F10" s="172" t="n"/>
      <c r="G10" s="172" t="n"/>
      <c r="H10" s="172" t="n"/>
      <c r="I10" s="172" t="n"/>
      <c r="J10" s="172" t="n"/>
      <c r="K10" s="172" t="n"/>
      <c r="L10" s="172" t="n"/>
    </row>
    <row r="11" ht="18" customHeight="1" s="163">
      <c r="A11" s="172" t="n"/>
      <c r="B11" s="247" t="inlineStr">
        <is>
          <t>Total INCOME</t>
        </is>
      </c>
      <c r="C11" s="248">
        <f>SUM(C6:C10)</f>
        <v/>
      </c>
      <c r="D11" s="248">
        <f>SUM(D6:D10)</f>
        <v/>
      </c>
      <c r="E11" s="248">
        <f>SUM(E6:E10)</f>
        <v/>
      </c>
      <c r="F11" s="172" t="n"/>
      <c r="G11" s="172" t="n"/>
      <c r="H11" s="172" t="n"/>
      <c r="I11" s="172" t="n"/>
      <c r="J11" s="172" t="n"/>
      <c r="K11" s="172" t="n"/>
      <c r="L11" s="172" t="n"/>
    </row>
    <row r="12">
      <c r="A12" s="172" t="n"/>
      <c r="B12" s="172" t="n"/>
      <c r="C12" s="172" t="n"/>
      <c r="D12" s="172" t="n"/>
      <c r="E12" s="172" t="n"/>
      <c r="F12" s="172" t="n"/>
      <c r="G12" s="172" t="n"/>
      <c r="H12" s="172" t="n"/>
      <c r="I12" s="172" t="n"/>
      <c r="J12" s="172" t="n"/>
      <c r="K12" s="172" t="n"/>
      <c r="L12" s="172" t="n"/>
    </row>
    <row r="13" ht="21.75" customHeight="1" s="163">
      <c r="A13" s="172" t="n"/>
      <c r="B13" s="185" t="inlineStr">
        <is>
          <t>TOTAL OUTGOINGS</t>
        </is>
      </c>
      <c r="C13" s="198" t="n"/>
      <c r="D13" s="198" t="n"/>
      <c r="E13" s="199" t="n"/>
      <c r="F13" s="172" t="n"/>
      <c r="G13" s="172" t="n"/>
      <c r="H13" s="172" t="n"/>
      <c r="I13" s="172" t="n"/>
      <c r="J13" s="172" t="n"/>
      <c r="K13" s="172" t="n"/>
      <c r="L13" s="172" t="n"/>
    </row>
    <row r="14" ht="18" customHeight="1" s="163">
      <c r="A14" s="172" t="n"/>
      <c r="B14" s="191" t="inlineStr">
        <is>
          <t>Household Expenses</t>
        </is>
      </c>
      <c r="C14" s="309">
        <f>'🏠 Household Expenditure'!G109/52</f>
        <v/>
      </c>
      <c r="D14" s="309">
        <f>'🏠 Household Expenditure'!G109/12</f>
        <v/>
      </c>
      <c r="E14" s="309">
        <f>'🏠 Household Expenditure'!G109</f>
        <v/>
      </c>
      <c r="F14" s="172" t="n"/>
      <c r="G14" s="172" t="n"/>
      <c r="H14" s="172" t="n"/>
      <c r="I14" s="172" t="n"/>
      <c r="J14" s="172" t="n"/>
      <c r="K14" s="172" t="n"/>
      <c r="L14" s="172" t="n"/>
    </row>
    <row r="15" ht="18" customHeight="1" s="163">
      <c r="A15" s="172" t="n"/>
      <c r="B15" s="194" t="inlineStr">
        <is>
          <t>Entertainment</t>
        </is>
      </c>
      <c r="C15" s="312">
        <f>'🏠 Household Expenditure'!N34/52</f>
        <v/>
      </c>
      <c r="D15" s="312">
        <f>'🏠 Household Expenditure'!N34/12</f>
        <v/>
      </c>
      <c r="E15" s="312">
        <f>'🏠 Household Expenditure'!N34</f>
        <v/>
      </c>
      <c r="F15" s="172" t="n"/>
      <c r="G15" s="172" t="n"/>
      <c r="H15" s="172" t="n"/>
      <c r="I15" s="172" t="n"/>
      <c r="J15" s="172" t="n"/>
      <c r="K15" s="172" t="n"/>
      <c r="L15" s="172" t="n"/>
    </row>
    <row r="16" ht="18" customHeight="1" s="163">
      <c r="A16" s="172" t="n"/>
      <c r="B16" s="191" t="inlineStr">
        <is>
          <t>Investment Property</t>
        </is>
      </c>
      <c r="C16" s="309">
        <f>'🏘 Rental Properties'!O10/52</f>
        <v/>
      </c>
      <c r="D16" s="309">
        <f>'🏘 Rental Properties'!O10/12</f>
        <v/>
      </c>
      <c r="E16" s="309">
        <f>'🏘 Rental Properties'!O10</f>
        <v/>
      </c>
      <c r="F16" s="172" t="n"/>
      <c r="G16" s="172" t="n"/>
      <c r="H16" s="172" t="n"/>
      <c r="I16" s="172" t="n"/>
      <c r="J16" s="172" t="n"/>
      <c r="K16" s="172" t="n"/>
      <c r="L16" s="172" t="n"/>
    </row>
    <row r="17" ht="18" customHeight="1" s="163">
      <c r="A17" s="172" t="n"/>
      <c r="B17" s="194" t="inlineStr">
        <is>
          <t>Investment Debt</t>
        </is>
      </c>
      <c r="C17" s="312">
        <f>('🏦 Debt Schedule'!H16*12)/52</f>
        <v/>
      </c>
      <c r="D17" s="312">
        <f>'🏦 Debt Schedule'!H16</f>
        <v/>
      </c>
      <c r="E17" s="312">
        <f>'🏦 Debt Schedule'!H16*12</f>
        <v/>
      </c>
      <c r="F17" s="172" t="n"/>
      <c r="G17" s="172" t="n"/>
      <c r="H17" s="172" t="n"/>
      <c r="I17" s="172" t="n"/>
      <c r="J17" s="172" t="n"/>
      <c r="K17" s="172" t="n"/>
      <c r="L17" s="172" t="n"/>
    </row>
    <row r="18" ht="18" customHeight="1" s="163">
      <c r="A18" s="172" t="n"/>
      <c r="B18" s="191" t="inlineStr">
        <is>
          <t>Private Debt</t>
        </is>
      </c>
      <c r="C18" s="309">
        <f>('🏦 Debt Schedule'!H24*12)/52</f>
        <v/>
      </c>
      <c r="D18" s="309">
        <f>'🏦 Debt Schedule'!H24</f>
        <v/>
      </c>
      <c r="E18" s="309">
        <f>'🏦 Debt Schedule'!H24*12</f>
        <v/>
      </c>
      <c r="F18" s="172" t="n"/>
      <c r="G18" s="172" t="n"/>
      <c r="H18" s="172" t="n"/>
      <c r="I18" s="172" t="n"/>
      <c r="J18" s="172" t="n"/>
      <c r="K18" s="172" t="n"/>
      <c r="L18" s="172" t="n"/>
    </row>
    <row r="19" ht="18" customHeight="1" s="163">
      <c r="A19" s="172" t="n"/>
      <c r="B19" s="194" t="inlineStr">
        <is>
          <t>Capital Expenditure</t>
        </is>
      </c>
      <c r="C19" s="249">
        <f>'📅 Monthly Cashflow'!O36/52</f>
        <v/>
      </c>
      <c r="D19" s="249">
        <f>'📅 Monthly Cashflow'!O36/12</f>
        <v/>
      </c>
      <c r="E19" s="249">
        <f>'📅 Monthly Cashflow'!O36</f>
        <v/>
      </c>
      <c r="F19" s="172" t="n"/>
      <c r="G19" s="172" t="n"/>
      <c r="H19" s="172" t="n"/>
      <c r="I19" s="172" t="n"/>
      <c r="J19" s="172" t="n"/>
      <c r="K19" s="172" t="n"/>
      <c r="L19" s="172" t="n"/>
    </row>
    <row r="20" ht="18" customHeight="1" s="163">
      <c r="A20" s="172" t="n"/>
      <c r="B20" s="191" t="inlineStr">
        <is>
          <t>Discretionary</t>
        </is>
      </c>
      <c r="C20" s="249" t="n">
        <v>0</v>
      </c>
      <c r="D20" s="249" t="n">
        <v>0</v>
      </c>
      <c r="E20" s="249" t="n">
        <v>0</v>
      </c>
      <c r="F20" s="172" t="n"/>
      <c r="G20" s="172" t="n"/>
      <c r="H20" s="172" t="n"/>
      <c r="I20" s="172" t="n"/>
      <c r="J20" s="172" t="n"/>
      <c r="K20" s="172" t="n"/>
      <c r="L20" s="172" t="n"/>
    </row>
    <row r="21" ht="18" customHeight="1" s="163">
      <c r="A21" s="172" t="n"/>
      <c r="B21" s="194" t="inlineStr">
        <is>
          <t>Savings</t>
        </is>
      </c>
      <c r="C21" s="249">
        <f>'📅 Monthly Cashflow'!O51/52</f>
        <v/>
      </c>
      <c r="D21" s="249">
        <f>'📅 Monthly Cashflow'!O51/12</f>
        <v/>
      </c>
      <c r="E21" s="249">
        <f>'📅 Monthly Cashflow'!O51</f>
        <v/>
      </c>
      <c r="F21" s="172" t="n"/>
      <c r="G21" s="172" t="n"/>
      <c r="H21" s="172" t="n"/>
      <c r="I21" s="172" t="n"/>
      <c r="J21" s="172" t="n"/>
      <c r="K21" s="172" t="n"/>
      <c r="L21" s="172" t="n"/>
    </row>
    <row r="22" ht="18" customHeight="1" s="163">
      <c r="A22" s="172" t="n"/>
      <c r="B22" s="247" t="inlineStr">
        <is>
          <t>Total Outgoings</t>
        </is>
      </c>
      <c r="C22" s="248">
        <f>SUM(C14:C21)</f>
        <v/>
      </c>
      <c r="D22" s="248">
        <f>SUM(D14:D21)</f>
        <v/>
      </c>
      <c r="E22" s="248">
        <f>SUM(E14:E21)</f>
        <v/>
      </c>
      <c r="F22" s="172" t="n"/>
      <c r="G22" s="172" t="n"/>
      <c r="H22" s="172" t="n"/>
      <c r="I22" s="172" t="n"/>
      <c r="J22" s="172" t="n"/>
      <c r="K22" s="172" t="n"/>
      <c r="L22" s="172" t="n"/>
    </row>
    <row r="23">
      <c r="A23" s="172" t="n"/>
      <c r="B23" s="172" t="n"/>
      <c r="C23" s="172" t="n"/>
      <c r="D23" s="172" t="n"/>
      <c r="E23" s="172" t="n"/>
      <c r="F23" s="172" t="n"/>
      <c r="G23" s="172" t="n"/>
      <c r="H23" s="172" t="n"/>
      <c r="I23" s="172" t="n"/>
      <c r="J23" s="172" t="n"/>
      <c r="K23" s="172" t="n"/>
      <c r="L23" s="172" t="n"/>
    </row>
    <row r="24" ht="21.75" customHeight="1" s="163">
      <c r="A24" s="172" t="n"/>
      <c r="B24" s="250" t="inlineStr">
        <is>
          <t>CASHFLOW SURPLUS / (DEFICIT)</t>
        </is>
      </c>
      <c r="C24" s="198" t="n"/>
      <c r="D24" s="198" t="n"/>
      <c r="E24" s="199" t="n"/>
      <c r="F24" s="172" t="n"/>
      <c r="G24" s="172" t="n"/>
      <c r="H24" s="172" t="n"/>
      <c r="I24" s="172" t="n"/>
      <c r="J24" s="172" t="n"/>
      <c r="K24" s="172" t="n"/>
      <c r="L24" s="172" t="n"/>
    </row>
    <row r="25" ht="18" customHeight="1" s="163">
      <c r="A25" s="172" t="n"/>
      <c r="B25" s="247" t="inlineStr">
        <is>
          <t>NET CASHFLOW</t>
        </is>
      </c>
      <c r="C25" s="248">
        <f>C11-C22</f>
        <v/>
      </c>
      <c r="D25" s="248">
        <f>D11-D22</f>
        <v/>
      </c>
      <c r="E25" s="248">
        <f>E11-E22</f>
        <v/>
      </c>
      <c r="F25" s="172" t="n"/>
      <c r="G25" s="172" t="n"/>
      <c r="H25" s="172" t="n"/>
      <c r="I25" s="172" t="n"/>
      <c r="J25" s="172" t="n"/>
      <c r="K25" s="172" t="n"/>
      <c r="L25" s="172" t="n"/>
    </row>
    <row r="26">
      <c r="A26" s="172" t="n"/>
      <c r="B26" s="172" t="n"/>
      <c r="C26" s="172" t="n"/>
      <c r="D26" s="172" t="n"/>
      <c r="E26" s="172" t="n"/>
      <c r="F26" s="172" t="n"/>
      <c r="G26" s="172" t="n"/>
      <c r="H26" s="172" t="n"/>
      <c r="I26" s="172" t="n"/>
      <c r="J26" s="172" t="n"/>
      <c r="K26" s="172" t="n"/>
      <c r="L26" s="172" t="n"/>
    </row>
    <row r="27">
      <c r="A27" s="172" t="n"/>
      <c r="B27" s="172" t="n"/>
      <c r="C27" s="172" t="n"/>
      <c r="D27" s="172" t="n"/>
      <c r="E27" s="172" t="n"/>
      <c r="F27" s="172" t="n"/>
      <c r="G27" s="172" t="n"/>
      <c r="H27" s="172" t="n"/>
      <c r="I27" s="172" t="n"/>
      <c r="J27" s="172" t="n"/>
      <c r="K27" s="172" t="n"/>
      <c r="L27" s="172" t="n"/>
    </row>
    <row r="28" ht="18" customHeight="1" s="163">
      <c r="A28" s="172" t="n"/>
      <c r="B28" s="202" t="inlineStr">
        <is>
          <t>📋 HOW TO USE — SUMMARY</t>
        </is>
      </c>
      <c r="C28" s="203" t="n"/>
      <c r="D28" s="203" t="n"/>
      <c r="E28" s="203" t="n"/>
      <c r="F28" s="203" t="n"/>
      <c r="G28" s="203" t="n"/>
      <c r="H28" s="203" t="n"/>
      <c r="I28" s="204" t="n"/>
      <c r="J28" s="172" t="n"/>
      <c r="K28" s="172" t="n"/>
      <c r="L28" s="172" t="n"/>
    </row>
    <row r="29" ht="36" customHeight="1" s="163">
      <c r="A29" s="172" t="n"/>
      <c r="B29" s="205" t="inlineStr">
        <is>
          <t>High-level household cashflow overview. Most figures here link automatically from the detail tabs.</t>
        </is>
      </c>
      <c r="C29" s="204" t="n"/>
      <c r="D29" s="206" t="n"/>
      <c r="E29" s="203" t="n"/>
      <c r="F29" s="203" t="n"/>
      <c r="G29" s="203" t="n"/>
      <c r="H29" s="203" t="n"/>
      <c r="I29" s="204" t="n"/>
      <c r="J29" s="172" t="n"/>
      <c r="K29" s="172" t="n"/>
      <c r="L29" s="172" t="n"/>
    </row>
    <row r="30" ht="18" customHeight="1" s="163">
      <c r="A30" s="172" t="n"/>
      <c r="B30" s="207" t="inlineStr">
        <is>
          <t>→  Purpose</t>
        </is>
      </c>
      <c r="C30" s="204" t="n"/>
      <c r="D30" s="208" t="inlineStr">
        <is>
          <t>Share this tab with clients as the key meeting summary — one page view</t>
        </is>
      </c>
      <c r="E30" s="203" t="n"/>
      <c r="F30" s="203" t="n"/>
      <c r="G30" s="203" t="n"/>
      <c r="H30" s="203" t="n"/>
      <c r="I30" s="204" t="n"/>
      <c r="J30" s="172" t="n"/>
      <c r="K30" s="172" t="n"/>
      <c r="L30" s="172" t="n"/>
    </row>
    <row r="31" ht="18" customHeight="1" s="163">
      <c r="A31" s="172" t="n"/>
      <c r="B31" s="302" t="inlineStr">
        <is>
          <t>→  Weekly / Monthly / Annual</t>
        </is>
      </c>
      <c r="C31" s="204" t="n"/>
      <c r="D31" s="206" t="inlineStr">
        <is>
          <t>Three views of the same figures. Weekly is most relatable for day-to-day planning.</t>
        </is>
      </c>
      <c r="E31" s="203" t="n"/>
      <c r="F31" s="203" t="n"/>
      <c r="G31" s="203" t="n"/>
      <c r="H31" s="203" t="n"/>
      <c r="I31" s="204" t="n"/>
      <c r="J31" s="172" t="n"/>
      <c r="K31" s="172" t="n"/>
      <c r="L31" s="172" t="n"/>
    </row>
    <row r="32" ht="18" customHeight="1" s="163">
      <c r="A32" s="172" t="n"/>
      <c r="B32" s="210" t="inlineStr">
        <is>
          <t>→  Surplus / (Deficit)</t>
        </is>
      </c>
      <c r="C32" s="204" t="n"/>
      <c r="D32" s="208" t="inlineStr">
        <is>
          <t>Positive = cash left over. Negative = spending exceeds income — immediate action needed.</t>
        </is>
      </c>
      <c r="E32" s="203" t="n"/>
      <c r="F32" s="203" t="n"/>
      <c r="G32" s="203" t="n"/>
      <c r="H32" s="203" t="n"/>
      <c r="I32" s="204" t="n"/>
      <c r="J32" s="172" t="n"/>
      <c r="K32" s="172" t="n"/>
      <c r="L32" s="172" t="n"/>
    </row>
    <row r="33" ht="18" customHeight="1" s="163">
      <c r="A33" s="172" t="n"/>
      <c r="B33" s="302" t="inlineStr">
        <is>
          <t>→  Discretionary + Savings</t>
        </is>
      </c>
      <c r="C33" s="204" t="n"/>
      <c r="D33" s="206" t="inlineStr">
        <is>
          <t>Yellow = enter here. These are the most flexible parts of the budget.</t>
        </is>
      </c>
      <c r="E33" s="203" t="n"/>
      <c r="F33" s="203" t="n"/>
      <c r="G33" s="203" t="n"/>
      <c r="H33" s="203" t="n"/>
      <c r="I33" s="204" t="n"/>
      <c r="J33" s="172" t="n"/>
      <c r="K33" s="172" t="n"/>
      <c r="L33" s="172" t="n"/>
    </row>
    <row r="34" ht="18" customHeight="1" s="163">
      <c r="A34" s="172" t="n"/>
      <c r="B34" s="207" t="inlineStr">
        <is>
          <t>💡 Tip</t>
        </is>
      </c>
      <c r="C34" s="204" t="n"/>
      <c r="D34" s="208" t="inlineStr">
        <is>
          <t>The Surplus figure should ideally be zero-based (YNAB model) — every surplus dollar allocated to a Goal.</t>
        </is>
      </c>
      <c r="E34" s="203" t="n"/>
      <c r="F34" s="203" t="n"/>
      <c r="G34" s="203" t="n"/>
      <c r="H34" s="203" t="n"/>
      <c r="I34" s="204" t="n"/>
      <c r="J34" s="172" t="n"/>
      <c r="K34" s="172" t="n"/>
      <c r="L34" s="172" t="n"/>
    </row>
    <row r="35">
      <c r="A35" s="172" t="n"/>
      <c r="B35" s="172" t="n"/>
      <c r="C35" s="172" t="n"/>
      <c r="D35" s="172" t="n"/>
      <c r="E35" s="172" t="n"/>
      <c r="F35" s="172" t="n"/>
      <c r="G35" s="172" t="n"/>
      <c r="H35" s="172" t="n"/>
      <c r="I35" s="172" t="n"/>
      <c r="J35" s="172" t="n"/>
      <c r="K35" s="172" t="n"/>
      <c r="L35" s="172" t="n"/>
    </row>
    <row r="36" ht="1.5" customHeight="1" s="163">
      <c r="A36" s="172" t="n"/>
      <c r="B36" s="217" t="n"/>
      <c r="C36" s="217" t="n"/>
      <c r="D36" s="217" t="n"/>
      <c r="E36" s="217" t="n"/>
      <c r="F36" s="172" t="n"/>
      <c r="G36" s="172" t="n"/>
      <c r="H36" s="172" t="n"/>
      <c r="I36" s="172" t="n"/>
      <c r="J36" s="172" t="n"/>
      <c r="K36" s="172" t="n"/>
      <c r="L36" s="172" t="n"/>
    </row>
    <row r="37" ht="18" customHeight="1" s="163">
      <c r="A37" s="172" t="n"/>
      <c r="B37" s="218">
        <f>"Prepared by Baobab Consulting  ·  Commercial in Confidence — "&amp;FamilyName&amp;" Group  ·  FY "&amp;FYYear</f>
        <v/>
      </c>
      <c r="C37" s="172" t="n"/>
      <c r="D37" s="172" t="n"/>
      <c r="E37" s="172" t="n"/>
      <c r="F37" s="172" t="n"/>
      <c r="G37" s="172" t="n"/>
      <c r="H37" s="172" t="n"/>
      <c r="I37" s="172" t="n"/>
      <c r="J37" s="172" t="n"/>
      <c r="K37" s="172" t="n"/>
      <c r="L37" s="172" t="n"/>
    </row>
  </sheetData>
  <mergeCells count="20">
    <mergeCell ref="D32:I32"/>
    <mergeCell ref="B24:E24"/>
    <mergeCell ref="B5:E5"/>
    <mergeCell ref="B31:C31"/>
    <mergeCell ref="C2:H2"/>
    <mergeCell ref="B3:H3"/>
    <mergeCell ref="D30:I30"/>
    <mergeCell ref="D33:I33"/>
    <mergeCell ref="B29:C29"/>
    <mergeCell ref="D29:I29"/>
    <mergeCell ref="B34:C34"/>
    <mergeCell ref="B28:I28"/>
    <mergeCell ref="D34:I34"/>
    <mergeCell ref="B30:C30"/>
    <mergeCell ref="B33:C33"/>
    <mergeCell ref="B13:E13"/>
    <mergeCell ref="D31:I31"/>
    <mergeCell ref="B32:C32"/>
    <mergeCell ref="B37:E37"/>
    <mergeCell ref="C1:H1"/>
  </mergeCells>
  <printOptions horizontalCentered="0" verticalCentered="0" headings="0" gridLines="0" gridLinesSet="1"/>
  <pageMargins left="0.75" right="0.75" top="1" bottom="1" header="0.511805555555556" footer="0.511805555555556"/>
  <pageSetup orientation="portrait" paperSize="9" scale="100" fitToHeight="1" fitToWidth="1" pageOrder="downThenOver" blackAndWhite="0" draft="0" horizontalDpi="300" verticalDpi="300" copies="1"/>
  <headerFooter differentOddEven="0" differentFirst="0">
    <oddHeader>&amp;L&amp;"Calibri,Bold"&amp;9 Baobab Consulting  ·  CONFIDENTIAL&amp;R&amp;8 Page &amp;P of &amp;N  ·  FY &amp;D</oddHeader>
    <oddFooter>&amp;C&amp;"Calibri,Italic"&amp;7 © Baobab Group of Companies (Baobab CFO Pty Ltd Baobab Consulting). No unauthorised use or reproduction without prior written permission.</oddFooter>
    <evenHeader/>
    <evenFooter/>
    <firstHeader/>
    <firstFooter/>
  </headerFooter>
  <drawing xmlns:r="http://schemas.openxmlformats.org/officeDocument/2006/relationships" r:id="rId1"/>
</worksheet>
</file>

<file path=xl/worksheets/sheet12.xml><?xml version="1.0" encoding="utf-8"?>
<worksheet xmlns="http://schemas.openxmlformats.org/spreadsheetml/2006/main">
  <sheetPr filterMode="0">
    <outlinePr summaryBelow="1" summaryRight="1"/>
    <pageSetUpPr fitToPage="0"/>
  </sheetPr>
  <dimension ref="A1:O56"/>
  <sheetViews>
    <sheetView showFormulas="0" showGridLines="0" showRowColHeaders="1" showZeros="1" rightToLeft="0" tabSelected="0" showOutlineSymbols="1" defaultGridColor="1" view="normal" topLeftCell="A1" colorId="64" zoomScale="100" zoomScaleNormal="100" zoomScalePageLayoutView="100" workbookViewId="0">
      <pane xSplit="1" ySplit="4" topLeftCell="B48" activePane="bottomRight" state="frozen"/>
      <selection pane="topLeft" activeCell="A1" activeCellId="0" sqref="A1"/>
      <selection pane="topRight" activeCell="B1" activeCellId="0" sqref="B1"/>
      <selection pane="bottomLeft" activeCell="A48" activeCellId="0" sqref="A48"/>
      <selection pane="bottomRight" activeCell="L13" activeCellId="0" sqref="L13"/>
    </sheetView>
  </sheetViews>
  <sheetFormatPr baseColWidth="8" defaultColWidth="8.71484375" defaultRowHeight="15" zeroHeight="0" outlineLevelRow="0"/>
  <cols>
    <col width="2" customWidth="1" style="162" min="1" max="1"/>
    <col width="33.14" customWidth="1" style="162" min="2" max="2"/>
    <col width="30" customWidth="1" style="162" min="3" max="3"/>
    <col width="31.29" customWidth="1" style="162" min="4" max="4"/>
    <col width="16" customWidth="1" style="162" min="5" max="7"/>
    <col width="22" customWidth="1" style="162" min="8" max="8"/>
  </cols>
  <sheetData>
    <row r="1" ht="90" customHeight="1" s="163">
      <c r="A1" s="179" t="n"/>
      <c r="B1" s="179" t="n"/>
      <c r="C1" s="180">
        <f>FamilyName&amp;" Group — Statement of Assets &amp; Liabilities"</f>
        <v/>
      </c>
      <c r="D1" s="168" t="n"/>
      <c r="E1" s="168" t="n"/>
      <c r="F1" s="168" t="n"/>
      <c r="G1" s="168" t="n"/>
      <c r="H1" s="168" t="n"/>
      <c r="I1" s="168" t="n"/>
      <c r="J1" s="168" t="n"/>
      <c r="K1" s="168" t="n"/>
      <c r="L1" s="179" t="n"/>
      <c r="M1" s="179" t="n"/>
      <c r="N1" s="179" t="n"/>
      <c r="O1" s="181" t="n"/>
    </row>
    <row r="2" ht="18" customHeight="1" s="163">
      <c r="A2" s="182" t="n"/>
      <c r="B2" s="182" t="n"/>
      <c r="C2" s="183">
        <f>"FY "&amp;FYYear&amp;"  ·  Baobab Consulting  ·  Confidential"</f>
        <v/>
      </c>
      <c r="D2" s="170" t="n"/>
      <c r="E2" s="170" t="n"/>
      <c r="F2" s="170" t="n"/>
      <c r="G2" s="170" t="n"/>
      <c r="H2" s="170" t="n"/>
      <c r="I2" s="170" t="n"/>
      <c r="J2" s="170" t="n"/>
      <c r="K2" s="170" t="n"/>
      <c r="L2" s="182" t="n"/>
      <c r="M2" s="182" t="n"/>
      <c r="N2" s="182" t="n"/>
      <c r="O2" s="181" t="n"/>
    </row>
    <row r="3" ht="13.5" customHeight="1" s="163">
      <c r="A3" s="184" t="n"/>
      <c r="B3" s="171" t="inlineStr">
        <is>
          <t>© Baobab Group of Companies (incl. Baobab CFO Pty Ltd &amp; Baobab Consulting). No unauthorised use or reproduction without prior written permission.</t>
        </is>
      </c>
      <c r="C3" s="172" t="n"/>
      <c r="D3" s="172" t="n"/>
      <c r="E3" s="172" t="n"/>
      <c r="F3" s="172" t="n"/>
      <c r="G3" s="172" t="n"/>
      <c r="H3" s="172" t="n"/>
      <c r="I3" s="172" t="n"/>
      <c r="J3" s="172" t="n"/>
      <c r="K3" s="172" t="n"/>
      <c r="L3" s="184" t="n"/>
      <c r="M3" s="184" t="n"/>
      <c r="N3" s="184" t="n"/>
      <c r="O3" s="181" t="n"/>
    </row>
    <row r="4" ht="30" customHeight="1" s="163">
      <c r="A4" s="172" t="n"/>
      <c r="B4" s="253" t="inlineStr">
        <is>
          <t>Category</t>
        </is>
      </c>
      <c r="C4" s="253" t="inlineStr">
        <is>
          <t>Description</t>
        </is>
      </c>
      <c r="D4" s="253" t="inlineStr">
        <is>
          <t>Details</t>
        </is>
      </c>
      <c r="E4" s="253" t="inlineStr">
        <is>
          <t>Assets</t>
        </is>
      </c>
      <c r="F4" s="253" t="inlineStr">
        <is>
          <t>Liabilities</t>
        </is>
      </c>
      <c r="G4" s="253" t="inlineStr">
        <is>
          <t>Net Assets</t>
        </is>
      </c>
      <c r="H4" s="253" t="inlineStr">
        <is>
          <t>Ownership Entity</t>
        </is>
      </c>
      <c r="I4" s="172" t="n"/>
      <c r="J4" s="172" t="n"/>
      <c r="K4" s="172" t="n"/>
      <c r="L4" s="172" t="n"/>
      <c r="M4" s="172" t="n"/>
      <c r="N4" s="172" t="n"/>
      <c r="O4" s="172" t="n"/>
    </row>
    <row r="5" ht="18" customHeight="1" s="163">
      <c r="A5" s="172" t="n"/>
      <c r="B5" s="247" t="inlineStr">
        <is>
          <t>TOTALS</t>
        </is>
      </c>
      <c r="C5" s="198" t="n"/>
      <c r="D5" s="199" t="n"/>
      <c r="E5" s="324">
        <f>E9+E15+E20+E24+E29+E33+E37+E41</f>
        <v/>
      </c>
      <c r="F5" s="324">
        <f>F9+F15+F20+F24+F29+F33+F37+F41</f>
        <v/>
      </c>
      <c r="G5" s="325">
        <f>E5-F5</f>
        <v/>
      </c>
      <c r="H5" s="172" t="n"/>
      <c r="I5" s="172" t="n"/>
      <c r="J5" s="172" t="n"/>
      <c r="K5" s="172" t="n"/>
      <c r="L5" s="172" t="n"/>
      <c r="M5" s="172" t="n"/>
      <c r="N5" s="172" t="n"/>
      <c r="O5" s="172" t="n"/>
    </row>
    <row r="6" ht="21.75" customHeight="1" s="163">
      <c r="A6" s="172" t="n"/>
      <c r="B6" s="185" t="inlineStr">
        <is>
          <t>PROPERTY — Personal Residence</t>
        </is>
      </c>
      <c r="C6" s="198" t="n"/>
      <c r="D6" s="198" t="n"/>
      <c r="E6" s="198" t="n"/>
      <c r="F6" s="198" t="n"/>
      <c r="G6" s="198" t="n"/>
      <c r="H6" s="199" t="n"/>
      <c r="I6" s="172" t="n"/>
      <c r="J6" s="172" t="n"/>
      <c r="K6" s="172" t="n"/>
      <c r="L6" s="172" t="n"/>
      <c r="M6" s="172" t="n"/>
      <c r="N6" s="172" t="n"/>
      <c r="O6" s="172" t="n"/>
    </row>
    <row r="7" ht="18" customHeight="1" s="163">
      <c r="A7" s="172" t="n"/>
      <c r="B7" s="326" t="inlineStr">
        <is>
          <t>PROPERTY</t>
        </is>
      </c>
      <c r="C7" s="327" t="inlineStr">
        <is>
          <t>Main Residence</t>
        </is>
      </c>
      <c r="D7" s="328" t="inlineStr">
        <is>
          <t>Enter current market value and loan balance</t>
        </is>
      </c>
      <c r="E7" s="249" t="n">
        <v>0</v>
      </c>
      <c r="F7" s="249" t="n">
        <v>0</v>
      </c>
      <c r="G7" s="312">
        <f>E7-F7</f>
        <v/>
      </c>
      <c r="H7" s="189" t="inlineStr">
        <is>
          <t>Joint</t>
        </is>
      </c>
      <c r="I7" s="172" t="n"/>
      <c r="J7" s="172" t="n"/>
      <c r="K7" s="172" t="n"/>
      <c r="L7" s="172" t="n"/>
      <c r="M7" s="172" t="n"/>
      <c r="N7" s="172" t="n"/>
      <c r="O7" s="172" t="n"/>
    </row>
    <row r="8" ht="18" customHeight="1" s="163">
      <c r="A8" s="172" t="n"/>
      <c r="B8" s="329" t="inlineStr">
        <is>
          <t>PROPERTY</t>
        </is>
      </c>
      <c r="C8" s="330" t="inlineStr">
        <is>
          <t>Holiday Home / Investment</t>
        </is>
      </c>
      <c r="D8" s="189" t="n"/>
      <c r="E8" s="249" t="n">
        <v>0</v>
      </c>
      <c r="F8" s="249" t="n">
        <v>0</v>
      </c>
      <c r="G8" s="309">
        <f>E8-F8</f>
        <v/>
      </c>
      <c r="H8" s="189" t="inlineStr">
        <is>
          <t>Joint</t>
        </is>
      </c>
      <c r="I8" s="172" t="n"/>
      <c r="J8" s="172" t="n"/>
      <c r="K8" s="172" t="n"/>
      <c r="L8" s="172" t="n"/>
      <c r="M8" s="172" t="n"/>
      <c r="N8" s="172" t="n"/>
      <c r="O8" s="172" t="n"/>
    </row>
    <row r="9" ht="18" customHeight="1" s="163">
      <c r="A9" s="172" t="n"/>
      <c r="B9" s="247" t="inlineStr">
        <is>
          <t xml:space="preserve">  Subtotal</t>
        </is>
      </c>
      <c r="C9" s="198" t="n"/>
      <c r="D9" s="199" t="n"/>
      <c r="E9" s="248">
        <f>SUM(E7:E8)</f>
        <v/>
      </c>
      <c r="F9" s="248">
        <f>SUM(F7:F8)</f>
        <v/>
      </c>
      <c r="G9" s="248">
        <f>E9-F9</f>
        <v/>
      </c>
      <c r="H9" s="172" t="n"/>
      <c r="I9" s="172" t="n"/>
      <c r="J9" s="172" t="n"/>
      <c r="K9" s="172" t="n"/>
      <c r="L9" s="172" t="n"/>
      <c r="M9" s="172" t="n"/>
      <c r="N9" s="172" t="n"/>
      <c r="O9" s="172" t="n"/>
    </row>
    <row r="10" ht="21.75" customHeight="1" s="163">
      <c r="A10" s="172" t="n"/>
      <c r="B10" s="185" t="inlineStr">
        <is>
          <t>PROPERTY — Investment Properties</t>
        </is>
      </c>
      <c r="C10" s="198" t="n"/>
      <c r="D10" s="198" t="n"/>
      <c r="E10" s="198" t="n"/>
      <c r="F10" s="198" t="n"/>
      <c r="G10" s="198" t="n"/>
      <c r="H10" s="199" t="n"/>
      <c r="I10" s="172" t="n"/>
      <c r="J10" s="172" t="n"/>
      <c r="K10" s="172" t="n"/>
      <c r="L10" s="172" t="n"/>
      <c r="M10" s="172" t="n"/>
      <c r="N10" s="172" t="n"/>
      <c r="O10" s="172" t="n"/>
    </row>
    <row r="11" ht="18" customHeight="1" s="163">
      <c r="A11" s="172" t="n"/>
      <c r="B11" s="326" t="inlineStr">
        <is>
          <t>PROPERTY</t>
        </is>
      </c>
      <c r="C11" s="327" t="inlineStr">
        <is>
          <t>Investment Property 1</t>
        </is>
      </c>
      <c r="D11" s="328" t="inlineStr">
        <is>
          <t>Enter loan balance — see Debt Schedule for detail</t>
        </is>
      </c>
      <c r="E11" s="249" t="n">
        <v>0</v>
      </c>
      <c r="F11" s="249" t="n">
        <v>0</v>
      </c>
      <c r="G11" s="312">
        <f>E11-F11</f>
        <v/>
      </c>
      <c r="H11" s="189" t="inlineStr">
        <is>
          <t>Joint</t>
        </is>
      </c>
      <c r="I11" s="172" t="n"/>
      <c r="J11" s="172" t="n"/>
      <c r="K11" s="172" t="n"/>
      <c r="L11" s="172" t="n"/>
      <c r="M11" s="172" t="n"/>
      <c r="N11" s="172" t="n"/>
      <c r="O11" s="172" t="n"/>
    </row>
    <row r="12" ht="18" customHeight="1" s="163">
      <c r="A12" s="172" t="n"/>
      <c r="B12" s="329" t="inlineStr">
        <is>
          <t>PROPERTY</t>
        </is>
      </c>
      <c r="C12" s="330" t="inlineStr">
        <is>
          <t>Investment Property 2</t>
        </is>
      </c>
      <c r="D12" s="328" t="inlineStr">
        <is>
          <t>Enter loan balance — see Debt Schedule for detail</t>
        </is>
      </c>
      <c r="E12" s="249" t="n">
        <v>0</v>
      </c>
      <c r="F12" s="249" t="n">
        <v>0</v>
      </c>
      <c r="G12" s="309">
        <f>E12-F12</f>
        <v/>
      </c>
      <c r="H12" s="189" t="inlineStr">
        <is>
          <t>Joint</t>
        </is>
      </c>
      <c r="I12" s="172" t="n"/>
      <c r="J12" s="172" t="n"/>
      <c r="K12" s="172" t="n"/>
      <c r="L12" s="172" t="n"/>
      <c r="M12" s="172" t="n"/>
      <c r="N12" s="172" t="n"/>
      <c r="O12" s="172" t="n"/>
    </row>
    <row r="13" ht="18" customHeight="1" s="163">
      <c r="A13" s="172" t="n"/>
      <c r="B13" s="326" t="inlineStr">
        <is>
          <t>PROPERTY</t>
        </is>
      </c>
      <c r="C13" s="327" t="inlineStr">
        <is>
          <t>Investment Property 3</t>
        </is>
      </c>
      <c r="D13" s="328" t="inlineStr">
        <is>
          <t>Enter loan balance — see Debt Schedule for detail</t>
        </is>
      </c>
      <c r="E13" s="249" t="n">
        <v>0</v>
      </c>
      <c r="F13" s="249" t="n">
        <v>0</v>
      </c>
      <c r="G13" s="312">
        <f>E13-F13</f>
        <v/>
      </c>
      <c r="H13" s="327">
        <f>Person1</f>
        <v/>
      </c>
      <c r="I13" s="172" t="n"/>
      <c r="J13" s="172" t="n"/>
      <c r="K13" s="172" t="n"/>
      <c r="L13" s="172" t="n"/>
      <c r="M13" s="172" t="n"/>
      <c r="N13" s="172" t="n"/>
      <c r="O13" s="172" t="n"/>
    </row>
    <row r="14" ht="18" customHeight="1" s="163">
      <c r="A14" s="172" t="n"/>
      <c r="B14" s="329" t="inlineStr">
        <is>
          <t>PROPERTY</t>
        </is>
      </c>
      <c r="C14" s="330" t="inlineStr">
        <is>
          <t>Investment Property 4</t>
        </is>
      </c>
      <c r="D14" s="328" t="inlineStr">
        <is>
          <t>Enter loan balance — see Debt Schedule for detail</t>
        </is>
      </c>
      <c r="E14" s="249" t="n">
        <v>0</v>
      </c>
      <c r="F14" s="249" t="n">
        <v>0</v>
      </c>
      <c r="G14" s="309">
        <f>E14-F14</f>
        <v/>
      </c>
      <c r="H14" s="330">
        <f>Person2</f>
        <v/>
      </c>
      <c r="I14" s="172" t="n"/>
      <c r="J14" s="172" t="n"/>
      <c r="K14" s="172" t="n"/>
      <c r="L14" s="172" t="n"/>
      <c r="M14" s="172" t="n"/>
      <c r="N14" s="172" t="n"/>
      <c r="O14" s="172" t="n"/>
    </row>
    <row r="15" ht="18" customHeight="1" s="163">
      <c r="A15" s="172" t="n"/>
      <c r="B15" s="247" t="inlineStr">
        <is>
          <t xml:space="preserve">  Subtotal</t>
        </is>
      </c>
      <c r="C15" s="198" t="n"/>
      <c r="D15" s="199" t="n"/>
      <c r="E15" s="248">
        <f>SUM(E11:E14)</f>
        <v/>
      </c>
      <c r="F15" s="248">
        <f>SUM(F11:F14)</f>
        <v/>
      </c>
      <c r="G15" s="248">
        <f>E15-F15</f>
        <v/>
      </c>
      <c r="H15" s="172" t="n"/>
      <c r="I15" s="172" t="n"/>
      <c r="J15" s="172" t="n"/>
      <c r="K15" s="172" t="n"/>
      <c r="L15" s="172" t="n"/>
      <c r="M15" s="172" t="n"/>
      <c r="N15" s="172" t="n"/>
      <c r="O15" s="172" t="n"/>
    </row>
    <row r="16" ht="21.75" customHeight="1" s="163">
      <c r="A16" s="172" t="n"/>
      <c r="B16" s="185" t="inlineStr">
        <is>
          <t>CASH &amp; SAVINGS</t>
        </is>
      </c>
      <c r="C16" s="198" t="n"/>
      <c r="D16" s="198" t="n"/>
      <c r="E16" s="198" t="n"/>
      <c r="F16" s="198" t="n"/>
      <c r="G16" s="198" t="n"/>
      <c r="H16" s="199" t="n"/>
      <c r="I16" s="172" t="n"/>
      <c r="J16" s="172" t="n"/>
      <c r="K16" s="172" t="n"/>
      <c r="L16" s="172" t="n"/>
      <c r="M16" s="172" t="n"/>
      <c r="N16" s="172" t="n"/>
      <c r="O16" s="172" t="n"/>
    </row>
    <row r="17" ht="18" customHeight="1" s="163">
      <c r="A17" s="172" t="n"/>
      <c r="B17" s="326" t="inlineStr">
        <is>
          <t>CASH &amp; SAVINGS</t>
        </is>
      </c>
      <c r="C17" s="327" t="inlineStr">
        <is>
          <t>Transaction Accounts</t>
        </is>
      </c>
      <c r="D17" s="189" t="n"/>
      <c r="E17" s="249" t="n">
        <v>0</v>
      </c>
      <c r="F17" s="249" t="n">
        <v>0</v>
      </c>
      <c r="G17" s="312">
        <f>E17-F17</f>
        <v/>
      </c>
      <c r="H17" s="189" t="inlineStr">
        <is>
          <t>Joint</t>
        </is>
      </c>
      <c r="I17" s="172" t="n"/>
      <c r="J17" s="172" t="n"/>
      <c r="K17" s="172" t="n"/>
      <c r="L17" s="172" t="n"/>
      <c r="M17" s="172" t="n"/>
      <c r="N17" s="172" t="n"/>
      <c r="O17" s="172" t="n"/>
    </row>
    <row r="18" ht="18" customHeight="1" s="163">
      <c r="A18" s="172" t="n"/>
      <c r="B18" s="329" t="inlineStr">
        <is>
          <t>CASH &amp; SAVINGS</t>
        </is>
      </c>
      <c r="C18" s="330" t="inlineStr">
        <is>
          <t>Savings Accounts</t>
        </is>
      </c>
      <c r="D18" s="189" t="n"/>
      <c r="E18" s="249" t="n">
        <v>0</v>
      </c>
      <c r="F18" s="249" t="n">
        <v>0</v>
      </c>
      <c r="G18" s="309">
        <f>E18-F18</f>
        <v/>
      </c>
      <c r="H18" s="189" t="inlineStr">
        <is>
          <t>Joint</t>
        </is>
      </c>
      <c r="I18" s="172" t="n"/>
      <c r="J18" s="172" t="n"/>
      <c r="K18" s="172" t="n"/>
      <c r="L18" s="172" t="n"/>
      <c r="M18" s="172" t="n"/>
      <c r="N18" s="172" t="n"/>
      <c r="O18" s="172" t="n"/>
    </row>
    <row r="19" ht="18" customHeight="1" s="163">
      <c r="A19" s="172" t="n"/>
      <c r="B19" s="326" t="inlineStr">
        <is>
          <t>CASH &amp; SAVINGS</t>
        </is>
      </c>
      <c r="C19" s="327" t="inlineStr">
        <is>
          <t>Term Deposits</t>
        </is>
      </c>
      <c r="D19" s="189" t="n"/>
      <c r="E19" s="249" t="n">
        <v>0</v>
      </c>
      <c r="F19" s="249" t="n">
        <v>0</v>
      </c>
      <c r="G19" s="312">
        <f>E19-F19</f>
        <v/>
      </c>
      <c r="H19" s="189" t="n"/>
      <c r="I19" s="172" t="n"/>
      <c r="J19" s="172" t="n"/>
      <c r="K19" s="172" t="n"/>
      <c r="L19" s="172" t="n"/>
      <c r="M19" s="172" t="n"/>
      <c r="N19" s="172" t="n"/>
      <c r="O19" s="172" t="n"/>
    </row>
    <row r="20" ht="18" customHeight="1" s="163">
      <c r="A20" s="172" t="n"/>
      <c r="B20" s="247" t="inlineStr">
        <is>
          <t xml:space="preserve">  Subtotal</t>
        </is>
      </c>
      <c r="C20" s="198" t="n"/>
      <c r="D20" s="199" t="n"/>
      <c r="E20" s="248">
        <f>SUM(E17:E19)</f>
        <v/>
      </c>
      <c r="F20" s="248">
        <f>SUM(F17:F19)</f>
        <v/>
      </c>
      <c r="G20" s="248">
        <f>E20-F20</f>
        <v/>
      </c>
      <c r="H20" s="172" t="n"/>
      <c r="I20" s="172" t="n"/>
      <c r="J20" s="172" t="n"/>
      <c r="K20" s="172" t="n"/>
      <c r="L20" s="172" t="n"/>
      <c r="M20" s="172" t="n"/>
      <c r="N20" s="172" t="n"/>
      <c r="O20" s="172" t="n"/>
    </row>
    <row r="21" ht="21.75" customHeight="1" s="163">
      <c r="A21" s="172" t="n"/>
      <c r="B21" s="185" t="inlineStr">
        <is>
          <t>SUPERANNUATION</t>
        </is>
      </c>
      <c r="C21" s="198" t="n"/>
      <c r="D21" s="198" t="n"/>
      <c r="E21" s="198" t="n"/>
      <c r="F21" s="198" t="n"/>
      <c r="G21" s="198" t="n"/>
      <c r="H21" s="199" t="n"/>
      <c r="I21" s="172" t="n"/>
      <c r="J21" s="172" t="n"/>
      <c r="K21" s="172" t="n"/>
      <c r="L21" s="172" t="n"/>
      <c r="M21" s="172" t="n"/>
      <c r="N21" s="172" t="n"/>
      <c r="O21" s="172" t="n"/>
    </row>
    <row r="22" ht="18" customHeight="1" s="163">
      <c r="A22" s="172" t="n"/>
      <c r="B22" s="329" t="inlineStr">
        <is>
          <t>SUPERANNUATION</t>
        </is>
      </c>
      <c r="C22" s="330">
        <f>Person1&amp;"'s Super"</f>
        <v/>
      </c>
      <c r="D22" s="331" t="inlineStr">
        <is>
          <t>→ Links from Goals &amp; Super tab</t>
        </is>
      </c>
      <c r="E22" s="267">
        <f>'🎯 Goals &amp; Super'!C23</f>
        <v/>
      </c>
      <c r="F22" s="249" t="n">
        <v>0</v>
      </c>
      <c r="G22" s="309">
        <f>E22-F22</f>
        <v/>
      </c>
      <c r="H22" s="330">
        <f>Person1</f>
        <v/>
      </c>
      <c r="I22" s="172" t="n"/>
      <c r="J22" s="172" t="n"/>
      <c r="K22" s="172" t="n"/>
      <c r="L22" s="172" t="n"/>
      <c r="M22" s="172" t="n"/>
      <c r="N22" s="172" t="n"/>
      <c r="O22" s="172" t="n"/>
    </row>
    <row r="23" ht="18" customHeight="1" s="163">
      <c r="A23" s="172" t="n"/>
      <c r="B23" s="326" t="inlineStr">
        <is>
          <t>SUPERANNUATION</t>
        </is>
      </c>
      <c r="C23" s="327">
        <f>Person2&amp;"'s Super"</f>
        <v/>
      </c>
      <c r="D23" s="331" t="inlineStr">
        <is>
          <t>→ Links from Goals &amp; Super tab</t>
        </is>
      </c>
      <c r="E23" s="267">
        <f>'🎯 Goals &amp; Super'!D23</f>
        <v/>
      </c>
      <c r="F23" s="249" t="n">
        <v>0</v>
      </c>
      <c r="G23" s="312">
        <f>E23-F23</f>
        <v/>
      </c>
      <c r="H23" s="327">
        <f>Person2</f>
        <v/>
      </c>
      <c r="I23" s="172" t="n"/>
      <c r="J23" s="172" t="n"/>
      <c r="K23" s="172" t="n"/>
      <c r="L23" s="172" t="n"/>
      <c r="M23" s="172" t="n"/>
      <c r="N23" s="172" t="n"/>
      <c r="O23" s="172" t="n"/>
    </row>
    <row r="24" ht="18" customHeight="1" s="163">
      <c r="A24" s="172" t="n"/>
      <c r="B24" s="247" t="inlineStr">
        <is>
          <t xml:space="preserve">  Subtotal</t>
        </is>
      </c>
      <c r="C24" s="198" t="n"/>
      <c r="D24" s="199" t="n"/>
      <c r="E24" s="248">
        <f>SUM(E22:E23)</f>
        <v/>
      </c>
      <c r="F24" s="248">
        <f>SUM(F22:F23)</f>
        <v/>
      </c>
      <c r="G24" s="248">
        <f>E24-F24</f>
        <v/>
      </c>
      <c r="H24" s="172" t="n"/>
      <c r="I24" s="172" t="n"/>
      <c r="J24" s="172" t="n"/>
      <c r="K24" s="172" t="n"/>
      <c r="L24" s="172" t="n"/>
      <c r="M24" s="172" t="n"/>
      <c r="N24" s="172" t="n"/>
      <c r="O24" s="172" t="n"/>
    </row>
    <row r="25" ht="21.75" customHeight="1" s="163">
      <c r="A25" s="172" t="n"/>
      <c r="B25" s="185" t="inlineStr">
        <is>
          <t>SHARES &amp; INVESTMENTS</t>
        </is>
      </c>
      <c r="C25" s="198" t="n"/>
      <c r="D25" s="198" t="n"/>
      <c r="E25" s="198" t="n"/>
      <c r="F25" s="198" t="n"/>
      <c r="G25" s="198" t="n"/>
      <c r="H25" s="199" t="n"/>
      <c r="I25" s="172" t="n"/>
      <c r="J25" s="172" t="n"/>
      <c r="K25" s="172" t="n"/>
      <c r="L25" s="172" t="n"/>
      <c r="M25" s="172" t="n"/>
      <c r="N25" s="172" t="n"/>
      <c r="O25" s="172" t="n"/>
    </row>
    <row r="26" ht="18" customHeight="1" s="163">
      <c r="A26" s="172" t="n"/>
      <c r="B26" s="329" t="inlineStr">
        <is>
          <t>SHARES &amp; INVESTMENTS</t>
        </is>
      </c>
      <c r="C26" s="330" t="inlineStr">
        <is>
          <t>ASX Listed Shares</t>
        </is>
      </c>
      <c r="D26" s="189" t="n"/>
      <c r="E26" s="249" t="n">
        <v>0</v>
      </c>
      <c r="F26" s="249" t="n">
        <v>0</v>
      </c>
      <c r="G26" s="309">
        <f>E26-F26</f>
        <v/>
      </c>
      <c r="H26" s="189" t="inlineStr">
        <is>
          <t>Joint</t>
        </is>
      </c>
      <c r="I26" s="172" t="n"/>
      <c r="J26" s="172" t="n"/>
      <c r="K26" s="172" t="n"/>
      <c r="L26" s="172" t="n"/>
      <c r="M26" s="172" t="n"/>
      <c r="N26" s="172" t="n"/>
      <c r="O26" s="172" t="n"/>
    </row>
    <row r="27" ht="18" customHeight="1" s="163">
      <c r="A27" s="172" t="n"/>
      <c r="B27" s="326" t="inlineStr">
        <is>
          <t>SHARES &amp; INVESTMENTS</t>
        </is>
      </c>
      <c r="C27" s="327" t="inlineStr">
        <is>
          <t>Managed Funds</t>
        </is>
      </c>
      <c r="D27" s="189" t="n"/>
      <c r="E27" s="249" t="n">
        <v>0</v>
      </c>
      <c r="F27" s="249" t="n">
        <v>0</v>
      </c>
      <c r="G27" s="312">
        <f>E27-F27</f>
        <v/>
      </c>
      <c r="H27" s="189" t="n"/>
      <c r="I27" s="172" t="n"/>
      <c r="J27" s="172" t="n"/>
      <c r="K27" s="172" t="n"/>
      <c r="L27" s="172" t="n"/>
      <c r="M27" s="172" t="n"/>
      <c r="N27" s="172" t="n"/>
      <c r="O27" s="172" t="n"/>
    </row>
    <row r="28" ht="18" customHeight="1" s="163">
      <c r="A28" s="172" t="n"/>
      <c r="B28" s="329" t="inlineStr">
        <is>
          <t>SHARES &amp; INVESTMENTS</t>
        </is>
      </c>
      <c r="C28" s="330" t="inlineStr">
        <is>
          <t>Other Investments</t>
        </is>
      </c>
      <c r="D28" s="189" t="n"/>
      <c r="E28" s="249" t="n">
        <v>0</v>
      </c>
      <c r="F28" s="249" t="n">
        <v>0</v>
      </c>
      <c r="G28" s="309">
        <f>E28-F28</f>
        <v/>
      </c>
      <c r="H28" s="189" t="n"/>
      <c r="I28" s="172" t="n"/>
      <c r="J28" s="172" t="n"/>
      <c r="K28" s="172" t="n"/>
      <c r="L28" s="172" t="n"/>
      <c r="M28" s="172" t="n"/>
      <c r="N28" s="172" t="n"/>
      <c r="O28" s="172" t="n"/>
    </row>
    <row r="29" ht="18" customHeight="1" s="163">
      <c r="A29" s="172" t="n"/>
      <c r="B29" s="247" t="inlineStr">
        <is>
          <t xml:space="preserve">  Subtotal</t>
        </is>
      </c>
      <c r="C29" s="198" t="n"/>
      <c r="D29" s="199" t="n"/>
      <c r="E29" s="248">
        <f>SUM(E26:E28)</f>
        <v/>
      </c>
      <c r="F29" s="248">
        <f>SUM(F26:F28)</f>
        <v/>
      </c>
      <c r="G29" s="248">
        <f>E29-F29</f>
        <v/>
      </c>
      <c r="H29" s="172" t="n"/>
      <c r="I29" s="172" t="n"/>
      <c r="J29" s="172" t="n"/>
      <c r="K29" s="172" t="n"/>
      <c r="L29" s="172" t="n"/>
      <c r="M29" s="172" t="n"/>
      <c r="N29" s="172" t="n"/>
      <c r="O29" s="172" t="n"/>
    </row>
    <row r="30" ht="21.75" customHeight="1" s="163">
      <c r="A30" s="172" t="n"/>
      <c r="B30" s="185" t="inlineStr">
        <is>
          <t>BUSINESS INTERESTS</t>
        </is>
      </c>
      <c r="C30" s="198" t="n"/>
      <c r="D30" s="198" t="n"/>
      <c r="E30" s="198" t="n"/>
      <c r="F30" s="198" t="n"/>
      <c r="G30" s="198" t="n"/>
      <c r="H30" s="199" t="n"/>
      <c r="I30" s="172" t="n"/>
      <c r="J30" s="172" t="n"/>
      <c r="K30" s="172" t="n"/>
      <c r="L30" s="172" t="n"/>
      <c r="M30" s="172" t="n"/>
      <c r="N30" s="172" t="n"/>
      <c r="O30" s="172" t="n"/>
    </row>
    <row r="31" ht="18" customHeight="1" s="163">
      <c r="A31" s="172" t="n"/>
      <c r="B31" s="326" t="inlineStr">
        <is>
          <t>BUSINESS INTERESTS</t>
        </is>
      </c>
      <c r="C31" s="327">
        <f>TrustName</f>
        <v/>
      </c>
      <c r="D31" s="189" t="inlineStr">
        <is>
          <t>Business value</t>
        </is>
      </c>
      <c r="E31" s="249" t="n">
        <v>0</v>
      </c>
      <c r="F31" s="249" t="n">
        <v>0</v>
      </c>
      <c r="G31" s="312">
        <f>E31-F31</f>
        <v/>
      </c>
      <c r="H31" s="189" t="inlineStr">
        <is>
          <t>Trust</t>
        </is>
      </c>
      <c r="I31" s="172" t="n"/>
      <c r="J31" s="172" t="n"/>
      <c r="K31" s="172" t="n"/>
      <c r="L31" s="172" t="n"/>
      <c r="M31" s="172" t="n"/>
      <c r="N31" s="172" t="n"/>
      <c r="O31" s="172" t="n"/>
    </row>
    <row r="32" ht="18" customHeight="1" s="163">
      <c r="A32" s="172" t="n"/>
      <c r="B32" s="329" t="inlineStr">
        <is>
          <t>BUSINESS INTERESTS</t>
        </is>
      </c>
      <c r="C32" s="330" t="inlineStr">
        <is>
          <t>Other Business Interest</t>
        </is>
      </c>
      <c r="D32" s="189" t="n"/>
      <c r="E32" s="249" t="n">
        <v>0</v>
      </c>
      <c r="F32" s="249" t="n">
        <v>0</v>
      </c>
      <c r="G32" s="309">
        <f>E32-F32</f>
        <v/>
      </c>
      <c r="H32" s="189" t="n"/>
      <c r="I32" s="172" t="n"/>
      <c r="J32" s="172" t="n"/>
      <c r="K32" s="172" t="n"/>
      <c r="L32" s="172" t="n"/>
      <c r="M32" s="172" t="n"/>
      <c r="N32" s="172" t="n"/>
      <c r="O32" s="172" t="n"/>
    </row>
    <row r="33" ht="18" customHeight="1" s="163">
      <c r="A33" s="172" t="n"/>
      <c r="B33" s="247" t="inlineStr">
        <is>
          <t xml:space="preserve">  Subtotal</t>
        </is>
      </c>
      <c r="C33" s="198" t="n"/>
      <c r="D33" s="199" t="n"/>
      <c r="E33" s="248">
        <f>SUM(E31:E32)</f>
        <v/>
      </c>
      <c r="F33" s="248">
        <f>SUM(F31:F32)</f>
        <v/>
      </c>
      <c r="G33" s="248">
        <f>E33-F33</f>
        <v/>
      </c>
      <c r="H33" s="172" t="n"/>
      <c r="I33" s="172" t="n"/>
      <c r="J33" s="172" t="n"/>
      <c r="K33" s="172" t="n"/>
      <c r="L33" s="172" t="n"/>
      <c r="M33" s="172" t="n"/>
      <c r="N33" s="172" t="n"/>
      <c r="O33" s="172" t="n"/>
    </row>
    <row r="34" ht="21.75" customHeight="1" s="163">
      <c r="A34" s="172" t="n"/>
      <c r="B34" s="185" t="inlineStr">
        <is>
          <t>CREDIT CARDS</t>
        </is>
      </c>
      <c r="C34" s="198" t="n"/>
      <c r="D34" s="198" t="n"/>
      <c r="E34" s="198" t="n"/>
      <c r="F34" s="198" t="n"/>
      <c r="G34" s="198" t="n"/>
      <c r="H34" s="199" t="n"/>
      <c r="I34" s="172" t="n"/>
      <c r="J34" s="172" t="n"/>
      <c r="K34" s="172" t="n"/>
      <c r="L34" s="172" t="n"/>
      <c r="M34" s="172" t="n"/>
      <c r="N34" s="172" t="n"/>
      <c r="O34" s="172" t="n"/>
    </row>
    <row r="35" ht="18" customHeight="1" s="163">
      <c r="A35" s="172" t="n"/>
      <c r="B35" s="326" t="inlineStr">
        <is>
          <t>CREDIT CARDS</t>
        </is>
      </c>
      <c r="C35" s="327" t="inlineStr">
        <is>
          <t>Credit Card 1</t>
        </is>
      </c>
      <c r="D35" s="189" t="n"/>
      <c r="E35" s="249" t="n">
        <v>0</v>
      </c>
      <c r="F35" s="249" t="n">
        <v>0</v>
      </c>
      <c r="G35" s="312">
        <f>E35-F35</f>
        <v/>
      </c>
      <c r="H35" s="189" t="inlineStr">
        <is>
          <t>Joint</t>
        </is>
      </c>
      <c r="I35" s="172" t="n"/>
      <c r="J35" s="172" t="n"/>
      <c r="K35" s="172" t="n"/>
      <c r="L35" s="172" t="n"/>
      <c r="M35" s="172" t="n"/>
      <c r="N35" s="172" t="n"/>
      <c r="O35" s="172" t="n"/>
    </row>
    <row r="36" ht="18" customHeight="1" s="163">
      <c r="A36" s="172" t="n"/>
      <c r="B36" s="329" t="inlineStr">
        <is>
          <t>CREDIT CARDS</t>
        </is>
      </c>
      <c r="C36" s="330" t="inlineStr">
        <is>
          <t>Credit Card 2</t>
        </is>
      </c>
      <c r="D36" s="189" t="n"/>
      <c r="E36" s="249" t="n">
        <v>0</v>
      </c>
      <c r="F36" s="249" t="n">
        <v>0</v>
      </c>
      <c r="G36" s="309">
        <f>E36-F36</f>
        <v/>
      </c>
      <c r="H36" s="189" t="n"/>
      <c r="I36" s="172" t="n"/>
      <c r="J36" s="172" t="n"/>
      <c r="K36" s="172" t="n"/>
      <c r="L36" s="172" t="n"/>
      <c r="M36" s="172" t="n"/>
      <c r="N36" s="172" t="n"/>
      <c r="O36" s="172" t="n"/>
    </row>
    <row r="37" ht="18" customHeight="1" s="163">
      <c r="A37" s="172" t="n"/>
      <c r="B37" s="247" t="inlineStr">
        <is>
          <t xml:space="preserve">  Subtotal</t>
        </is>
      </c>
      <c r="C37" s="198" t="n"/>
      <c r="D37" s="199" t="n"/>
      <c r="E37" s="248">
        <f>SUM(E35:E36)</f>
        <v/>
      </c>
      <c r="F37" s="248">
        <f>SUM(F35:F36)</f>
        <v/>
      </c>
      <c r="G37" s="248">
        <f>E37-F37</f>
        <v/>
      </c>
      <c r="H37" s="172" t="n"/>
      <c r="I37" s="172" t="n"/>
      <c r="J37" s="172" t="n"/>
      <c r="K37" s="172" t="n"/>
      <c r="L37" s="172" t="n"/>
      <c r="M37" s="172" t="n"/>
      <c r="N37" s="172" t="n"/>
      <c r="O37" s="172" t="n"/>
    </row>
    <row r="38" ht="21.75" customHeight="1" s="163">
      <c r="A38" s="172" t="n"/>
      <c r="B38" s="185" t="inlineStr">
        <is>
          <t>OTHER ASSETS</t>
        </is>
      </c>
      <c r="C38" s="198" t="n"/>
      <c r="D38" s="198" t="n"/>
      <c r="E38" s="198" t="n"/>
      <c r="F38" s="198" t="n"/>
      <c r="G38" s="198" t="n"/>
      <c r="H38" s="199" t="n"/>
      <c r="I38" s="172" t="n"/>
      <c r="J38" s="172" t="n"/>
      <c r="K38" s="172" t="n"/>
      <c r="L38" s="172" t="n"/>
      <c r="M38" s="172" t="n"/>
      <c r="N38" s="172" t="n"/>
      <c r="O38" s="172" t="n"/>
    </row>
    <row r="39" ht="18" customHeight="1" s="163">
      <c r="A39" s="172" t="n"/>
      <c r="B39" s="326" t="inlineStr">
        <is>
          <t>OTHER ASSETS</t>
        </is>
      </c>
      <c r="C39" s="327" t="inlineStr">
        <is>
          <t>Motor Vehicles</t>
        </is>
      </c>
      <c r="D39" s="189" t="n"/>
      <c r="E39" s="249" t="n">
        <v>0</v>
      </c>
      <c r="F39" s="249" t="n">
        <v>0</v>
      </c>
      <c r="G39" s="312">
        <f>E39-F39</f>
        <v/>
      </c>
      <c r="H39" s="189" t="inlineStr">
        <is>
          <t>Joint</t>
        </is>
      </c>
      <c r="I39" s="172" t="n"/>
      <c r="J39" s="172" t="n"/>
      <c r="K39" s="172" t="n"/>
      <c r="L39" s="172" t="n"/>
      <c r="M39" s="172" t="n"/>
      <c r="N39" s="172" t="n"/>
      <c r="O39" s="172" t="n"/>
    </row>
    <row r="40" ht="18" customHeight="1" s="163">
      <c r="A40" s="172" t="n"/>
      <c r="B40" s="329" t="inlineStr">
        <is>
          <t>OTHER ASSETS</t>
        </is>
      </c>
      <c r="C40" s="330" t="inlineStr">
        <is>
          <t>Personal Property</t>
        </is>
      </c>
      <c r="D40" s="189" t="n"/>
      <c r="E40" s="249" t="n">
        <v>0</v>
      </c>
      <c r="F40" s="249" t="n">
        <v>0</v>
      </c>
      <c r="G40" s="309">
        <f>E40-F40</f>
        <v/>
      </c>
      <c r="H40" s="189" t="n"/>
      <c r="I40" s="172" t="n"/>
      <c r="J40" s="172" t="n"/>
      <c r="K40" s="172" t="n"/>
      <c r="L40" s="172" t="n"/>
      <c r="M40" s="172" t="n"/>
      <c r="N40" s="172" t="n"/>
      <c r="O40" s="172" t="n"/>
    </row>
    <row r="41" ht="18" customHeight="1" s="163">
      <c r="A41" s="172" t="n"/>
      <c r="B41" s="247" t="inlineStr">
        <is>
          <t xml:space="preserve">  Subtotal</t>
        </is>
      </c>
      <c r="C41" s="198" t="n"/>
      <c r="D41" s="199" t="n"/>
      <c r="E41" s="248">
        <f>SUM(E39:E40)</f>
        <v/>
      </c>
      <c r="F41" s="248">
        <f>SUM(F39:F40)</f>
        <v/>
      </c>
      <c r="G41" s="248">
        <f>E41-F41</f>
        <v/>
      </c>
      <c r="H41" s="172" t="n"/>
      <c r="I41" s="172" t="n"/>
      <c r="J41" s="172" t="n"/>
      <c r="K41" s="172" t="n"/>
      <c r="L41" s="172" t="n"/>
      <c r="M41" s="172" t="n"/>
      <c r="N41" s="172" t="n"/>
      <c r="O41" s="172" t="n"/>
    </row>
    <row r="42">
      <c r="A42" s="172" t="n"/>
      <c r="B42" s="172" t="n"/>
      <c r="C42" s="172" t="n"/>
      <c r="D42" s="172" t="n"/>
      <c r="E42" s="172" t="n"/>
      <c r="F42" s="172" t="n"/>
      <c r="G42" s="172" t="n"/>
      <c r="H42" s="172" t="n"/>
      <c r="I42" s="172" t="n"/>
      <c r="J42" s="172" t="n"/>
      <c r="K42" s="172" t="n"/>
      <c r="L42" s="172" t="n"/>
      <c r="M42" s="172" t="n"/>
      <c r="N42" s="172" t="n"/>
      <c r="O42" s="172" t="n"/>
    </row>
    <row r="43">
      <c r="A43" s="172" t="n"/>
      <c r="B43" s="172" t="n"/>
      <c r="C43" s="172" t="n"/>
      <c r="D43" s="172" t="n"/>
      <c r="E43" s="172" t="n"/>
      <c r="F43" s="172" t="n"/>
      <c r="G43" s="172" t="n"/>
      <c r="H43" s="172" t="n"/>
      <c r="I43" s="172" t="n"/>
      <c r="J43" s="172" t="n"/>
      <c r="K43" s="172" t="n"/>
      <c r="L43" s="172" t="n"/>
      <c r="M43" s="172" t="n"/>
      <c r="N43" s="172" t="n"/>
      <c r="O43" s="172" t="n"/>
    </row>
    <row r="44" ht="18" customHeight="1" s="163">
      <c r="A44" s="172" t="n"/>
      <c r="B44" s="202" t="inlineStr">
        <is>
          <t>📋 HOW TO USE — ASSETS &amp; LIABILITIES</t>
        </is>
      </c>
      <c r="C44" s="203" t="n"/>
      <c r="D44" s="203" t="n"/>
      <c r="E44" s="203" t="n"/>
      <c r="F44" s="203" t="n"/>
      <c r="G44" s="203" t="n"/>
      <c r="H44" s="203" t="n"/>
      <c r="I44" s="204" t="n"/>
      <c r="J44" s="172" t="n"/>
      <c r="K44" s="172" t="n"/>
      <c r="L44" s="172" t="n"/>
      <c r="M44" s="172" t="n"/>
      <c r="N44" s="172" t="n"/>
      <c r="O44" s="172" t="n"/>
    </row>
    <row r="45" ht="36" customHeight="1" s="163">
      <c r="A45" s="172" t="n"/>
      <c r="B45" s="205" t="inlineStr">
        <is>
          <t>Build the family's full balance sheet. Update at each review — quarterly is ideal.</t>
        </is>
      </c>
      <c r="C45" s="204" t="n"/>
      <c r="D45" s="206" t="n"/>
      <c r="E45" s="203" t="n"/>
      <c r="F45" s="203" t="n"/>
      <c r="G45" s="203" t="n"/>
      <c r="H45" s="203" t="n"/>
      <c r="I45" s="204" t="n"/>
      <c r="J45" s="172" t="n"/>
      <c r="K45" s="172" t="n"/>
      <c r="L45" s="172" t="n"/>
      <c r="M45" s="172" t="n"/>
      <c r="N45" s="172" t="n"/>
      <c r="O45" s="172" t="n"/>
    </row>
    <row r="46" ht="18" customHeight="1" s="163">
      <c r="A46" s="172" t="n"/>
      <c r="B46" s="207" t="inlineStr">
        <is>
          <t>→  Assets column (E)</t>
        </is>
      </c>
      <c r="C46" s="204" t="n"/>
      <c r="D46" s="208" t="inlineStr">
        <is>
          <t>Enter current market value for each asset (property: council valuation or REA estimate)</t>
        </is>
      </c>
      <c r="E46" s="203" t="n"/>
      <c r="F46" s="203" t="n"/>
      <c r="G46" s="203" t="n"/>
      <c r="H46" s="203" t="n"/>
      <c r="I46" s="204" t="n"/>
      <c r="J46" s="172" t="n"/>
      <c r="K46" s="172" t="n"/>
      <c r="L46" s="172" t="n"/>
      <c r="M46" s="172" t="n"/>
      <c r="N46" s="172" t="n"/>
      <c r="O46" s="172" t="n"/>
    </row>
    <row r="47" ht="18" customHeight="1" s="163">
      <c r="A47" s="172" t="n"/>
      <c r="B47" s="302" t="inlineStr">
        <is>
          <t>→  Liabilities column (F)</t>
        </is>
      </c>
      <c r="C47" s="204" t="n"/>
      <c r="D47" s="206" t="inlineStr">
        <is>
          <t>Enter current loan balance for each liability</t>
        </is>
      </c>
      <c r="E47" s="203" t="n"/>
      <c r="F47" s="203" t="n"/>
      <c r="G47" s="203" t="n"/>
      <c r="H47" s="203" t="n"/>
      <c r="I47" s="204" t="n"/>
      <c r="J47" s="172" t="n"/>
      <c r="K47" s="172" t="n"/>
      <c r="L47" s="172" t="n"/>
      <c r="M47" s="172" t="n"/>
      <c r="N47" s="172" t="n"/>
      <c r="O47" s="172" t="n"/>
    </row>
    <row r="48" ht="18" customHeight="1" s="163">
      <c r="A48" s="172" t="n"/>
      <c r="B48" s="207" t="inlineStr">
        <is>
          <t>→  Net Assets (G)</t>
        </is>
      </c>
      <c r="C48" s="204" t="n"/>
      <c r="D48" s="208" t="inlineStr">
        <is>
          <t>Auto-calculated as Assets – Liabilities per row</t>
        </is>
      </c>
      <c r="E48" s="203" t="n"/>
      <c r="F48" s="203" t="n"/>
      <c r="G48" s="203" t="n"/>
      <c r="H48" s="203" t="n"/>
      <c r="I48" s="204" t="n"/>
      <c r="J48" s="172" t="n"/>
      <c r="K48" s="172" t="n"/>
      <c r="L48" s="172" t="n"/>
      <c r="M48" s="172" t="n"/>
      <c r="N48" s="172" t="n"/>
      <c r="O48" s="172" t="n"/>
    </row>
    <row r="49" ht="18" customHeight="1" s="163">
      <c r="A49" s="172" t="n"/>
      <c r="B49" s="209" t="inlineStr">
        <is>
          <t>→  Totals row (top)</t>
        </is>
      </c>
      <c r="C49" s="204" t="n"/>
      <c r="D49" s="206" t="inlineStr">
        <is>
          <t>Sum of all Assets, Liabilities, Net Assets across all categories</t>
        </is>
      </c>
      <c r="E49" s="203" t="n"/>
      <c r="F49" s="203" t="n"/>
      <c r="G49" s="203" t="n"/>
      <c r="H49" s="203" t="n"/>
      <c r="I49" s="204" t="n"/>
      <c r="J49" s="172" t="n"/>
      <c r="K49" s="172" t="n"/>
      <c r="L49" s="172" t="n"/>
      <c r="M49" s="172" t="n"/>
      <c r="N49" s="172" t="n"/>
      <c r="O49" s="172" t="n"/>
    </row>
    <row r="50" ht="18" customHeight="1" s="163">
      <c r="A50" s="172" t="n"/>
      <c r="B50" s="207" t="inlineStr">
        <is>
          <t>→  Ownership Entity</t>
        </is>
      </c>
      <c r="C50" s="204" t="n"/>
      <c r="D50" s="211">
        <f>"Note who owns it: "&amp;Person1&amp;", "&amp;Person2&amp;", Joint, "&amp;TrustName&amp;", SMSF"</f>
        <v/>
      </c>
      <c r="E50" s="203" t="n"/>
      <c r="F50" s="203" t="n"/>
      <c r="G50" s="203" t="n"/>
      <c r="H50" s="203" t="n"/>
      <c r="I50" s="204" t="n"/>
      <c r="J50" s="172" t="n"/>
      <c r="K50" s="172" t="n"/>
      <c r="L50" s="172" t="n"/>
      <c r="M50" s="172" t="n"/>
      <c r="N50" s="172" t="n"/>
      <c r="O50" s="172" t="n"/>
    </row>
    <row r="51" ht="18" customHeight="1" s="163">
      <c r="A51" s="172" t="n"/>
      <c r="B51" s="209" t="inlineStr">
        <is>
          <t>→  Superannuation</t>
        </is>
      </c>
      <c r="C51" s="204" t="n"/>
      <c r="D51" s="332">
        <f>"Include super here — it’s the "&amp;FamilyName&amp;" family’s largest asset class over time"</f>
        <v/>
      </c>
      <c r="E51" s="203" t="n"/>
      <c r="F51" s="203" t="n"/>
      <c r="G51" s="203" t="n"/>
      <c r="H51" s="203" t="n"/>
      <c r="I51" s="204" t="n"/>
      <c r="J51" s="172" t="n"/>
      <c r="K51" s="172" t="n"/>
      <c r="L51" s="172" t="n"/>
      <c r="M51" s="172" t="n"/>
      <c r="N51" s="172" t="n"/>
      <c r="O51" s="172" t="n"/>
    </row>
    <row r="52" ht="18" customHeight="1" s="163">
      <c r="A52" s="172" t="n"/>
      <c r="B52" s="207" t="inlineStr">
        <is>
          <t>→  As at date</t>
        </is>
      </c>
      <c r="C52" s="204" t="n"/>
      <c r="D52" s="208" t="inlineStr">
        <is>
          <t>Update the date (cell C3) each time you refresh the balance sheet</t>
        </is>
      </c>
      <c r="E52" s="203" t="n"/>
      <c r="F52" s="203" t="n"/>
      <c r="G52" s="203" t="n"/>
      <c r="H52" s="203" t="n"/>
      <c r="I52" s="204" t="n"/>
      <c r="J52" s="172" t="n"/>
      <c r="K52" s="172" t="n"/>
      <c r="L52" s="172" t="n"/>
      <c r="M52" s="172" t="n"/>
      <c r="N52" s="172" t="n"/>
      <c r="O52" s="172" t="n"/>
    </row>
    <row r="53" ht="18" customHeight="1" s="163">
      <c r="A53" s="172" t="n"/>
      <c r="B53" s="209" t="inlineStr">
        <is>
          <t>💡 Tip</t>
        </is>
      </c>
      <c r="C53" s="204" t="n"/>
      <c r="D53" s="206" t="inlineStr">
        <is>
          <t>Property values should be conservative estimates, not wishful thinking. Use recent comparable sales.</t>
        </is>
      </c>
      <c r="E53" s="203" t="n"/>
      <c r="F53" s="203" t="n"/>
      <c r="G53" s="203" t="n"/>
      <c r="H53" s="203" t="n"/>
      <c r="I53" s="204" t="n"/>
      <c r="J53" s="172" t="n"/>
      <c r="K53" s="172" t="n"/>
      <c r="L53" s="172" t="n"/>
      <c r="M53" s="172" t="n"/>
      <c r="N53" s="172" t="n"/>
      <c r="O53" s="172" t="n"/>
    </row>
    <row r="54">
      <c r="A54" s="172" t="n"/>
      <c r="B54" s="172" t="n"/>
      <c r="C54" s="172" t="n"/>
      <c r="D54" s="172" t="n"/>
      <c r="E54" s="172" t="n"/>
      <c r="F54" s="172" t="n"/>
      <c r="G54" s="172" t="n"/>
      <c r="H54" s="172" t="n"/>
      <c r="I54" s="172" t="n"/>
      <c r="J54" s="172" t="n"/>
      <c r="K54" s="172" t="n"/>
      <c r="L54" s="172" t="n"/>
      <c r="M54" s="172" t="n"/>
      <c r="N54" s="172" t="n"/>
      <c r="O54" s="172" t="n"/>
    </row>
    <row r="55" ht="1.5" customHeight="1" s="163">
      <c r="A55" s="172" t="n"/>
      <c r="B55" s="217" t="n"/>
      <c r="C55" s="217" t="n"/>
      <c r="D55" s="217" t="n"/>
      <c r="E55" s="217" t="n"/>
      <c r="F55" s="217" t="n"/>
      <c r="G55" s="217" t="n"/>
      <c r="H55" s="217" t="n"/>
      <c r="I55" s="172" t="n"/>
      <c r="J55" s="172" t="n"/>
      <c r="K55" s="172" t="n"/>
      <c r="L55" s="172" t="n"/>
      <c r="M55" s="172" t="n"/>
      <c r="N55" s="172" t="n"/>
      <c r="O55" s="172" t="n"/>
    </row>
    <row r="56" ht="18" customHeight="1" s="163">
      <c r="A56" s="172" t="n"/>
      <c r="B56" s="218">
        <f>"Prepared by Baobab Consulting  ·  Commercial in Confidence — "&amp;FamilyName&amp;" Group  ·  FY "&amp;FYYear</f>
        <v/>
      </c>
      <c r="C56" s="172" t="n"/>
      <c r="D56" s="172" t="n"/>
      <c r="E56" s="172" t="n"/>
      <c r="F56" s="172" t="n"/>
      <c r="G56" s="172" t="n"/>
      <c r="H56" s="172" t="n"/>
      <c r="I56" s="172" t="n"/>
      <c r="J56" s="172" t="n"/>
      <c r="K56" s="172" t="n"/>
      <c r="L56" s="172" t="n"/>
      <c r="M56" s="172" t="n"/>
      <c r="N56" s="172" t="n"/>
      <c r="O56" s="172" t="n"/>
    </row>
  </sheetData>
  <mergeCells count="40">
    <mergeCell ref="D49:I49"/>
    <mergeCell ref="C1:K1"/>
    <mergeCell ref="B47:C47"/>
    <mergeCell ref="B46:C46"/>
    <mergeCell ref="B6:H6"/>
    <mergeCell ref="B30:H30"/>
    <mergeCell ref="D48:I48"/>
    <mergeCell ref="B29:D29"/>
    <mergeCell ref="D53:I53"/>
    <mergeCell ref="D47:I47"/>
    <mergeCell ref="C2:K2"/>
    <mergeCell ref="B52:C52"/>
    <mergeCell ref="B48:C48"/>
    <mergeCell ref="B37:D37"/>
    <mergeCell ref="B9:D9"/>
    <mergeCell ref="B16:H16"/>
    <mergeCell ref="B25:H25"/>
    <mergeCell ref="B15:D15"/>
    <mergeCell ref="B24:D24"/>
    <mergeCell ref="B3:K3"/>
    <mergeCell ref="B20:D20"/>
    <mergeCell ref="B53:C53"/>
    <mergeCell ref="B33:D33"/>
    <mergeCell ref="B5:D5"/>
    <mergeCell ref="B44:I44"/>
    <mergeCell ref="D51:I51"/>
    <mergeCell ref="B56:H56"/>
    <mergeCell ref="B41:D41"/>
    <mergeCell ref="B21:H21"/>
    <mergeCell ref="D50:I50"/>
    <mergeCell ref="B49:C49"/>
    <mergeCell ref="D46:I46"/>
    <mergeCell ref="B51:C51"/>
    <mergeCell ref="B45:C45"/>
    <mergeCell ref="B34:H34"/>
    <mergeCell ref="B38:H38"/>
    <mergeCell ref="D45:I45"/>
    <mergeCell ref="B50:C50"/>
    <mergeCell ref="B10:H10"/>
    <mergeCell ref="D52:I52"/>
  </mergeCells>
  <printOptions horizontalCentered="0" verticalCentered="0" headings="0" gridLines="0" gridLinesSet="1"/>
  <pageMargins left="0.75" right="0.75" top="1" bottom="1" header="0.511805555555556" footer="0.511805555555556"/>
  <pageSetup orientation="portrait" paperSize="9" scale="100" fitToHeight="1" fitToWidth="1" pageOrder="downThenOver" blackAndWhite="0" draft="0" horizontalDpi="300" verticalDpi="300" copies="1"/>
  <headerFooter differentOddEven="0" differentFirst="0">
    <oddHeader>&amp;L&amp;"Calibri,Bold"&amp;9 Baobab Consulting  ·  CONFIDENTIAL&amp;R&amp;8 Page &amp;P of &amp;N  ·  FY &amp;D</oddHeader>
    <oddFooter>&amp;C&amp;"Calibri,Italic"&amp;7 © Baobab Group of Companies (Baobab CFO Pty Ltd Baobab Consulting). No unauthorised use or reproduction without prior written permission.</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Baobab Consulting</dc:creator>
  <dc:title xmlns:dc="http://purl.org/dc/elements/1.1/">Household Budget &amp; Financial Planning Workbook</dc:title>
  <dc:description xmlns:dc="http://purl.org/dc/elements/1.1/">© Baobab Group of Companies (Baobab CFO Pty Ltd &amp; Baobab Consulting). No unauthorised use or reproduction without prior written permission.</dc:description>
  <dc:subject xmlns:dc="http://purl.org/dc/elements/1.1/">Financial Planning — Prepared by Baobab Consulting</dc:subject>
  <dc:language xmlns:dc="http://purl.org/dc/elements/1.1/">en-US</dc:language>
  <dcterms:created xmlns:dcterms="http://purl.org/dc/terms/" xmlns:xsi="http://www.w3.org/2001/XMLSchema-instance" xsi:type="dcterms:W3CDTF">2026-04-13T03:35:28Z</dcterms:created>
  <dcterms:modified xmlns:dcterms="http://purl.org/dc/terms/" xmlns:xsi="http://www.w3.org/2001/XMLSchema-instance" xsi:type="dcterms:W3CDTF">2026-05-21T04:45:52Z</dcterms:modified>
  <cp:category>Financial Planning</cp:category>
  <cp:revision>0</cp:revision>
  <cp:keywords>Baobab Consulting Financial Planning Budget Tax Confidential</cp:keywords>
</cp:coreProperties>
</file>